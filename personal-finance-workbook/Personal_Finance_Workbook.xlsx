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TART HERE" sheetId="1" state="visible" r:id="rId1"/>
    <sheet name="Dashboard" sheetId="2" state="visible" r:id="rId2"/>
    <sheet name="Income" sheetId="3" state="visible" r:id="rId3"/>
    <sheet name="Expenses" sheetId="4" state="visible" r:id="rId4"/>
    <sheet name="Bills &amp; Subscriptions" sheetId="5" state="visible" r:id="rId5"/>
    <sheet name="Debt Tracker" sheetId="6" state="visible" r:id="rId6"/>
    <sheet name="Savings &amp; Goals" sheetId="7" state="visible" r:id="rId7"/>
    <sheet name="Net Worth" sheetId="8" state="visible" r:id="rId8"/>
    <sheet name="Side Income" sheetId="9" state="visible" r:id="rId9"/>
    <sheet name="Habit Tracker" sheetId="10" state="visible" r:id="rId10"/>
    <sheet name="Lists" sheetId="11" state="hidden" r:id="rId11"/>
    <sheet name="MonthData" sheetId="12" state="hidden" r:id="rId12"/>
  </sheets>
  <definedNames>
    <definedName name="Pay_Rate">'Income'!$D$8</definedName>
    <definedName name="Est_Hours">'Income'!$D$9</definedName>
    <definedName name="Est_OT">'Income'!$D$10</definedName>
    <definedName name="OT_Rate">'Income'!$D$11</definedName>
    <definedName name="Tax_Pct">'Income'!$D$12</definedName>
    <definedName name="Pay_Date">'Income'!$B$27:$B$50</definedName>
    <definedName name="Pay_Net">'Income'!$D$27:$D$50</definedName>
    <definedName name="Gov_Amt">'Income'!$C$57:$C$63</definedName>
    <definedName name="Gov_Start">'Income'!$D$57:$D$63</definedName>
    <definedName name="Gov_Int">'Income'!$F$57:$F$63</definedName>
    <definedName name="Fixed_Amt">'Expenses'!$C$8:$C$15</definedName>
    <definedName name="Fixed_Start">'Expenses'!$D$8:$D$15</definedName>
    <definedName name="Disc_Date">'Expenses'!$B$21:$B$44</definedName>
    <definedName name="Disc_Amt">'Expenses'!$D$21:$D$44</definedName>
    <definedName name="Bill_Amt">'Bills &amp; Subscriptions'!$C$8:$C$19</definedName>
    <definedName name="Bill_DueDay">'Bills &amp; Subscriptions'!$D$8:$D$19</definedName>
    <definedName name="Bill_InBudget">'Bills &amp; Subscriptions'!$E$8:$E$19</definedName>
    <definedName name="Bill_Start">'Bills &amp; Subscriptions'!$F$8:$F$19</definedName>
    <definedName name="Plan_Date">'Bills &amp; Subscriptions'!$C$25:$C$30</definedName>
    <definedName name="Plan_Amt">'Bills &amp; Subscriptions'!$D$25:$D$30</definedName>
    <definedName name="Cal_Month">'Bills &amp; Subscriptions'!$C$35</definedName>
    <definedName name="Side_Inc_Date">'Side Income'!$B$12:$B$33</definedName>
    <definedName name="Side_Inc_Amt">'Side Income'!$E$12:$E$33</definedName>
    <definedName name="Side_Exp_Date">'Side Income'!$G$12:$G$33</definedName>
    <definedName name="Side_Exp_Amt">'Side Income'!$J$12:$J$33</definedName>
    <definedName name="Saven_Bal">'Savings &amp; Goals'!$C$8</definedName>
    <definedName name="Saven_Rate">'Savings &amp; Goals'!$D$8</definedName>
    <definedName name="Membership">'Savings &amp; Goals'!$C$9</definedName>
    <definedName name="WS_TFSA">'Savings &amp; Goals'!$C$10</definedName>
    <definedName name="WS_TFSA_Auto">'Savings &amp; Goals'!$D$10</definedName>
    <definedName name="WS_HISA">'Savings &amp; Goals'!$C$11</definedName>
    <definedName name="RBC_Chq">'Savings &amp; Goals'!$C$12</definedName>
    <definedName name="Sav_Total">'Savings &amp; Goals'!$C$13</definedName>
    <definedName name="EF_Progress">'Savings &amp; Goals'!$F$19</definedName>
    <definedName name="Goal7k_Pct">'Savings &amp; Goals'!$F$20</definedName>
    <definedName name="Goal7k_Target">'Savings &amp; Goals'!$C$20</definedName>
    <definedName name="OnTrack7k">'Savings &amp; Goals'!$I$20</definedName>
    <definedName name="Trip_Pct">'Savings &amp; Goals'!$F$21</definedName>
    <definedName name="Trip_Current">'Savings &amp; Goals'!$D$21</definedName>
    <definedName name="INR_Owed">'Debt Tracker'!$C$7</definedName>
    <definedName name="INR_per_CAD">'Debt Tracker'!$C$8</definedName>
    <definedName name="INR_Pay">'Debt Tracker'!$C$9</definedName>
    <definedName name="India_Rate">'Debt Tracker'!$C$10</definedName>
    <definedName name="India_CAD">'Debt Tracker'!$F$7</definedName>
    <definedName name="India_Pay">'Debt Tracker'!$F$9</definedName>
    <definedName name="Avion_Bal">'Debt Tracker'!$L$8</definedName>
    <definedName name="Debt_Name">'Debt Tracker'!$B$16:$B$27</definedName>
    <definedName name="Debt_Amt">'Debt Tracker'!$C$16:$C$27</definedName>
    <definedName name="Debt_Months">'Debt Tracker'!$G$16:$G$27</definedName>
    <definedName name="Month_Labels">'MonthData'!$B$2:$B$13</definedName>
    <definedName name="Month_Dates">'MonthData'!$A$2:$A$13</definedName>
    <definedName name="Sel_Label">'Dashboard'!$D$4</definedName>
    <definedName name="Sel_Month">'Dashboard'!$P$4</definedName>
    <definedName name="Fixed_Name">'Expenses'!$B$8:$B$15</definedName>
    <definedName name="NW_Goal">'Net Worth'!$E$9</definedName>
    <definedName name="Habit_Month">'Habit Tracker'!$C$4</definedName>
    <definedName name="_xlnm.Print_Area" localSheetId="0">'START HERE'!$A$1:$H$39</definedName>
    <definedName name="_xlnm.Print_Area" localSheetId="1">'Dashboard'!$A$1:$T$45</definedName>
    <definedName name="_xlnm.Print_Area" localSheetId="2">'Income'!$A$1:$N$66</definedName>
    <definedName name="_xlnm.Print_Area" localSheetId="3">'Expenses'!$A$1:$N$48</definedName>
    <definedName name="_xlnm.Print_Area" localSheetId="4">'Bills &amp; Subscriptions'!$A$1:$S$44</definedName>
    <definedName name="_xlnm.Print_Area" localSheetId="5">'Debt Tracker'!$A$1:$P$46</definedName>
    <definedName name="_xlnm.Print_Area" localSheetId="6">'Savings &amp; Goals'!$A$1:$J$45</definedName>
    <definedName name="_xlnm.Print_Area" localSheetId="7">'Net Worth'!$A$1:$T$48</definedName>
    <definedName name="_xlnm.Print_Area" localSheetId="8">'Side Income'!$A$1:$O$50</definedName>
    <definedName name="_xlnm.Print_Area" localSheetId="9">'Habit Tracker'!$A$1:$AH$34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$&quot;#,##0.00"/>
    <numFmt numFmtId="165" formatCode="#,##0.0"/>
    <numFmt numFmtId="166" formatCode="0.0%"/>
    <numFmt numFmtId="167" formatCode="mmm d, yyyy"/>
    <numFmt numFmtId="168" formatCode="mmm yyyy"/>
    <numFmt numFmtId="169" formatCode="&quot;$&quot;#,##0"/>
    <numFmt numFmtId="170" formatCode="yyyy-mm-dd"/>
    <numFmt numFmtId="171" formatCode="mmm yy"/>
    <numFmt numFmtId="172" formatCode="0.0"/>
    <numFmt numFmtId="173" formatCode=";;;"/>
  </numFmts>
  <fonts count="69">
    <font>
      <name val="Calibri"/>
      <family val="2"/>
      <color theme="1"/>
      <sz val="11"/>
      <scheme val="minor"/>
    </font>
    <font>
      <name val="Calibri"/>
      <color rgb="00AEB7CF"/>
      <sz val="10"/>
    </font>
    <font>
      <name val="Calibri"/>
      <b val="1"/>
      <color rgb="00F4F6FB"/>
      <sz val="20"/>
    </font>
    <font>
      <name val="Calibri"/>
      <i val="1"/>
      <color rgb="00AEB7CF"/>
      <sz val="10.5"/>
    </font>
    <font>
      <name val="Calibri"/>
      <b val="1"/>
      <color rgb="0035E6B6"/>
      <sz val="12.5"/>
    </font>
    <font>
      <name val="Calibri"/>
      <i val="1"/>
      <color rgb="0076819B"/>
      <sz val="9"/>
    </font>
    <font>
      <name val="Calibri"/>
      <color rgb="00AEB7CF"/>
      <sz val="9.5"/>
    </font>
    <font>
      <name val="Calibri"/>
      <b val="1"/>
      <color rgb="001A1E2B"/>
      <sz val="10.5"/>
    </font>
    <font>
      <name val="Calibri"/>
      <b val="1"/>
      <color rgb="00F4F6FB"/>
      <sz val="10.5"/>
    </font>
    <font>
      <name val="Calibri"/>
      <b val="1"/>
      <color rgb="0035E6B6"/>
      <sz val="10.5"/>
    </font>
    <font>
      <name val="Calibri"/>
      <b val="1"/>
      <color rgb="00FF6792"/>
      <sz val="10.5"/>
    </font>
    <font>
      <name val="Calibri"/>
      <b val="1"/>
      <color rgb="0035E6B6"/>
      <sz val="9.5"/>
    </font>
    <font>
      <name val="Calibri"/>
      <b val="1"/>
      <color rgb="0035E6B6"/>
      <sz val="13"/>
    </font>
    <font>
      <name val="Calibri"/>
      <b val="1"/>
      <color rgb="005B93FF"/>
      <sz val="9"/>
    </font>
    <font>
      <name val="Calibri"/>
      <b val="1"/>
      <color rgb="00AEB7CF"/>
      <sz val="9"/>
    </font>
    <font>
      <name val="Calibri"/>
      <color rgb="00F4F6FB"/>
      <sz val="10"/>
    </font>
    <font>
      <name val="Calibri"/>
      <b val="1"/>
      <color rgb="0035E6B6"/>
      <sz val="10"/>
    </font>
    <font>
      <name val="Calibri"/>
      <b val="1"/>
      <color rgb="00AEB7CF"/>
      <sz val="9.5"/>
    </font>
    <font>
      <name val="Calibri"/>
      <b val="1"/>
      <color rgb="0035E6B6"/>
      <sz val="11"/>
    </font>
    <font>
      <name val="Calibri"/>
      <b val="1"/>
      <color rgb="00FF6792"/>
      <sz val="12.5"/>
    </font>
    <font>
      <name val="Calibri"/>
      <b val="1"/>
      <color rgb="00FF6792"/>
      <sz val="9.5"/>
    </font>
    <font>
      <name val="Calibri"/>
      <b val="1"/>
      <color rgb="00FF6792"/>
      <sz val="11"/>
    </font>
    <font>
      <name val="Calibri"/>
      <b val="1"/>
      <color rgb="00FF6792"/>
      <sz val="9"/>
    </font>
    <font>
      <name val="Calibri"/>
      <b val="1"/>
      <color rgb="00F4F6FB"/>
      <sz val="18"/>
    </font>
    <font>
      <name val="Calibri"/>
      <i val="1"/>
      <color rgb="00AEB7CF"/>
      <sz val="9"/>
    </font>
    <font>
      <name val="Calibri"/>
      <color rgb="00AEB7CF"/>
      <sz val="9"/>
    </font>
    <font>
      <name val="Calibri"/>
      <b val="1"/>
      <color rgb="00F4F6FB"/>
      <sz val="10"/>
    </font>
    <font>
      <name val="Calibri"/>
      <i val="1"/>
      <color rgb="0076819B"/>
      <sz val="8"/>
    </font>
    <font>
      <name val="Calibri"/>
      <b val="1"/>
      <color rgb="00FFCF5C"/>
      <sz val="12.5"/>
    </font>
    <font>
      <name val="Calibri"/>
      <b val="1"/>
      <color rgb="00AEB7CF"/>
      <sz val="8.5"/>
    </font>
    <font>
      <name val="Calibri"/>
      <b val="1"/>
      <color rgb="001FB593"/>
      <sz val="11"/>
    </font>
    <font>
      <name val="Calibri"/>
      <b val="1"/>
      <color rgb="00FFCF5C"/>
      <sz val="9.5"/>
    </font>
    <font>
      <name val="Calibri"/>
      <b val="1"/>
      <color rgb="00FFCF5C"/>
      <sz val="11"/>
    </font>
    <font>
      <name val="Calibri"/>
      <b val="1"/>
      <color rgb="00F4F6FB"/>
      <sz val="11"/>
    </font>
    <font>
      <name val="Calibri"/>
      <b val="1"/>
      <color rgb="00F4F6FB"/>
      <sz val="14"/>
    </font>
    <font>
      <name val="Calibri"/>
      <b val="1"/>
      <color rgb="0035E6B6"/>
      <sz val="8.5"/>
    </font>
    <font>
      <name val="Calibri"/>
      <b val="1"/>
      <color rgb="00F4F6FB"/>
      <sz val="16"/>
    </font>
    <font>
      <name val="Calibri"/>
      <b val="1"/>
      <color rgb="00FF6792"/>
      <sz val="8.5"/>
    </font>
    <font>
      <name val="Calibri"/>
      <b val="1"/>
      <color rgb="00B084F5"/>
      <sz val="8.5"/>
    </font>
    <font>
      <name val="Calibri"/>
      <b val="1"/>
      <color rgb="00B084F5"/>
      <sz val="12.5"/>
    </font>
    <font>
      <name val="Calibri"/>
      <color rgb="0035E6B6"/>
      <sz val="9"/>
    </font>
    <font>
      <name val="Calibri"/>
      <color rgb="00FF6792"/>
      <sz val="9"/>
    </font>
    <font>
      <name val="Calibri"/>
      <color rgb="00F4F6FB"/>
      <sz val="9"/>
    </font>
    <font>
      <name val="Calibri"/>
      <color rgb="0076819B"/>
      <sz val="9"/>
    </font>
    <font>
      <name val="Calibri"/>
      <color rgb="00B084F5"/>
      <sz val="9"/>
    </font>
    <font>
      <name val="Calibri"/>
      <b val="1"/>
      <color rgb="00F4F6FB"/>
      <sz val="9.5"/>
    </font>
    <font>
      <name val="Calibri"/>
      <b val="1"/>
      <color rgb="0076819B"/>
      <sz val="11"/>
    </font>
    <font>
      <name val="Calibri"/>
      <color rgb="0076819B"/>
      <sz val="8"/>
    </font>
    <font>
      <name val="Calibri"/>
      <b val="1"/>
      <color rgb="005B93FF"/>
      <sz val="12.5"/>
    </font>
    <font>
      <name val="Calibri"/>
      <b val="1"/>
      <color rgb="00FF6792"/>
      <sz val="10"/>
    </font>
    <font>
      <name val="Calibri"/>
      <b val="1"/>
      <color rgb="00FFCF5C"/>
      <sz val="10"/>
    </font>
    <font>
      <name val="Calibri"/>
      <b val="1"/>
      <color rgb="005B93FF"/>
      <sz val="8.5"/>
    </font>
    <font>
      <name val="Calibri"/>
      <b val="1"/>
      <color rgb="00FFCF5C"/>
      <sz val="8.5"/>
    </font>
    <font>
      <name val="Calibri"/>
      <b val="1"/>
      <color rgb="00AEB7CF"/>
      <sz val="12.5"/>
    </font>
    <font>
      <name val="Calibri"/>
      <b val="1"/>
      <color rgb="00B084F5"/>
      <sz val="11"/>
    </font>
    <font>
      <name val="Calibri"/>
      <b val="1"/>
      <color rgb="005B93FF"/>
      <sz val="11"/>
    </font>
    <font>
      <name val="Calibri"/>
      <color rgb="00AEB7CF"/>
      <sz val="8"/>
    </font>
    <font>
      <name val="Calibri"/>
      <color rgb="0035E6B6"/>
      <sz val="8"/>
    </font>
    <font>
      <name val="Calibri"/>
      <color rgb="00FF6792"/>
      <sz val="8"/>
    </font>
    <font>
      <name val="Calibri"/>
      <color rgb="00F4F6FB"/>
      <sz val="8"/>
    </font>
    <font>
      <name val="Calibri"/>
      <b val="1"/>
      <color rgb="00F4F6FB"/>
      <sz val="13"/>
    </font>
    <font>
      <name val="Calibri"/>
      <b val="1"/>
      <color rgb="00AEB7CF"/>
      <sz val="8"/>
    </font>
    <font>
      <name val="Calibri"/>
      <b val="1"/>
      <color rgb="00FFCF5C"/>
      <sz val="9"/>
    </font>
    <font>
      <name val="Calibri"/>
      <b val="1"/>
      <color rgb="0035E6B6"/>
      <sz val="12"/>
    </font>
    <font>
      <name val="Calibri"/>
      <color rgb="00AEB7CF"/>
      <sz val="10.5"/>
    </font>
    <font>
      <name val="Calibri"/>
      <i val="1"/>
      <color rgb="0076819B"/>
      <sz val="9.5"/>
    </font>
    <font>
      <name val="Calibri"/>
      <b val="1"/>
      <color rgb="00FFCF5C"/>
      <sz val="10.5"/>
    </font>
    <font>
      <name val="Calibri"/>
      <b val="1"/>
      <color rgb="005B93FF"/>
      <sz val="10.5"/>
    </font>
    <font>
      <name val="Calibri"/>
      <b val="1"/>
      <color rgb="00B084F5"/>
      <sz val="10.5"/>
    </font>
  </fonts>
  <fills count="13">
    <fill>
      <patternFill/>
    </fill>
    <fill>
      <patternFill patternType="gray125"/>
    </fill>
    <fill>
      <patternFill patternType="solid">
        <fgColor rgb="001A1E2B"/>
      </patternFill>
    </fill>
    <fill>
      <patternFill patternType="solid">
        <fgColor rgb="0035E6B6"/>
      </patternFill>
    </fill>
    <fill>
      <patternFill patternType="solid">
        <fgColor rgb="00F6D998"/>
      </patternFill>
    </fill>
    <fill>
      <patternFill patternType="solid">
        <fgColor rgb="00313A54"/>
      </patternFill>
    </fill>
    <fill>
      <patternFill patternType="solid">
        <fgColor rgb="00232A3D"/>
      </patternFill>
    </fill>
    <fill>
      <patternFill patternType="solid">
        <fgColor rgb="005B93FF"/>
      </patternFill>
    </fill>
    <fill>
      <patternFill patternType="solid">
        <fgColor rgb="002B3349"/>
      </patternFill>
    </fill>
    <fill>
      <patternFill patternType="solid">
        <fgColor rgb="00262E43"/>
      </patternFill>
    </fill>
    <fill>
      <patternFill patternType="solid">
        <fgColor rgb="00FF6792"/>
      </patternFill>
    </fill>
    <fill>
      <patternFill patternType="solid">
        <fgColor rgb="00FFCF5C"/>
      </patternFill>
    </fill>
    <fill>
      <patternFill patternType="solid">
        <fgColor rgb="00B084F5"/>
      </patternFill>
    </fill>
  </fills>
  <borders count="14">
    <border>
      <left/>
      <right/>
      <top/>
      <bottom/>
      <diagonal/>
    </border>
    <border>
      <left style="thin">
        <color rgb="00E7B64C"/>
      </left>
      <right style="thin">
        <color rgb="00E7B64C"/>
      </right>
      <top style="thin">
        <color rgb="00E7B64C"/>
      </top>
      <bottom style="thin">
        <color rgb="00E7B64C"/>
      </bottom>
    </border>
    <border>
      <bottom style="thin">
        <color rgb="003C4660"/>
      </bottom>
    </border>
    <border>
      <right/>
      <bottom style="thin">
        <color rgb="003C4660"/>
      </bottom>
    </border>
    <border>
      <left/>
      <right/>
      <top/>
      <bottom style="thin">
        <color rgb="003C4660"/>
      </bottom>
      <diagonal/>
    </border>
    <border>
      <left style="thin">
        <color rgb="003C4660"/>
      </left>
      <right style="thin">
        <color rgb="003C4660"/>
      </right>
      <top style="thin">
        <color rgb="003C4660"/>
      </top>
      <bottom style="thin">
        <color rgb="003C4660"/>
      </bottom>
    </border>
    <border>
      <left/>
      <right/>
      <top style="thin">
        <color rgb="003C4660"/>
      </top>
      <bottom/>
      <diagonal/>
    </border>
    <border>
      <left/>
      <right style="thin">
        <color rgb="003C4660"/>
      </right>
      <top style="thin">
        <color rgb="003C4660"/>
      </top>
      <bottom/>
      <diagonal/>
    </border>
    <border>
      <left/>
      <right/>
      <top style="thin">
        <color rgb="003C4660"/>
      </top>
      <bottom style="thin">
        <color rgb="003C4660"/>
      </bottom>
      <diagonal/>
    </border>
    <border>
      <left/>
      <right style="thin">
        <color rgb="003C4660"/>
      </right>
      <top style="thin">
        <color rgb="003C4660"/>
      </top>
      <bottom style="thin">
        <color rgb="003C4660"/>
      </bottom>
      <diagonal/>
    </border>
    <border>
      <left/>
      <right/>
      <top style="thin">
        <color rgb="00E7B64C"/>
      </top>
      <bottom/>
      <diagonal/>
    </border>
    <border>
      <left/>
      <right style="thin">
        <color rgb="00E7B64C"/>
      </right>
      <top style="thin">
        <color rgb="00E7B64C"/>
      </top>
      <bottom/>
      <diagonal/>
    </border>
    <border>
      <left/>
      <right/>
      <top style="thin">
        <color rgb="00E7B64C"/>
      </top>
      <bottom style="thin">
        <color rgb="00E7B64C"/>
      </bottom>
      <diagonal/>
    </border>
    <border>
      <left/>
      <right style="thin">
        <color rgb="00E7B64C"/>
      </right>
      <top style="thin">
        <color rgb="00E7B64C"/>
      </top>
      <bottom style="thin">
        <color rgb="00E7B64C"/>
      </bottom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63" fillId="6" borderId="0" applyAlignment="1" pivotButton="0" quotePrefix="0" xfId="0">
      <alignment horizontal="left" vertical="center" indent="1"/>
    </xf>
    <xf numFmtId="0" fontId="64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7" fillId="4" borderId="1" applyAlignment="1" pivotButton="0" quotePrefix="0" xfId="0">
      <alignment horizontal="center" vertical="center"/>
    </xf>
    <xf numFmtId="0" fontId="65" fillId="6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0" fontId="66" fillId="6" borderId="0" applyAlignment="1" pivotButton="0" quotePrefix="0" xfId="0">
      <alignment horizontal="left" vertical="center" indent="1"/>
    </xf>
    <xf numFmtId="0" fontId="67" fillId="6" borderId="0" applyAlignment="1" pivotButton="0" quotePrefix="0" xfId="0">
      <alignment horizontal="left" vertical="center" indent="1"/>
    </xf>
    <xf numFmtId="0" fontId="68" fillId="6" borderId="0" applyAlignment="1" pivotButton="0" quotePrefix="0" xfId="0">
      <alignment horizontal="left" vertical="center" indent="1"/>
    </xf>
    <xf numFmtId="0" fontId="28" fillId="2" borderId="0" applyAlignment="1" pivotButton="0" quotePrefix="0" xfId="0">
      <alignment horizontal="left" vertical="center" indent="1"/>
    </xf>
    <xf numFmtId="0" fontId="18" fillId="6" borderId="0" applyAlignment="1" pivotButton="0" quotePrefix="0" xfId="0">
      <alignment horizontal="left" vertical="center" indent="1"/>
    </xf>
    <xf numFmtId="0" fontId="55" fillId="6" borderId="0" applyAlignment="1" pivotButton="0" quotePrefix="0" xfId="0">
      <alignment horizontal="left" vertical="center" indent="1"/>
    </xf>
    <xf numFmtId="0" fontId="54" fillId="6" borderId="0" applyAlignment="1" pivotButton="0" quotePrefix="0" xfId="0">
      <alignment horizontal="left" vertical="center" indent="1"/>
    </xf>
    <xf numFmtId="0" fontId="50" fillId="6" borderId="0" applyAlignment="1" pivotButton="0" quotePrefix="0" xfId="0">
      <alignment horizontal="left" vertical="center" indent="1"/>
    </xf>
    <xf numFmtId="0" fontId="0" fillId="0" borderId="13" pivotButton="0" quotePrefix="0" xfId="0"/>
    <xf numFmtId="0" fontId="5" fillId="6" borderId="0" applyAlignment="1" pivotButton="0" quotePrefix="0" xfId="0">
      <alignment horizontal="left" vertical="center" indent="1"/>
    </xf>
    <xf numFmtId="168" fontId="0" fillId="2" borderId="0" pivotButton="0" quotePrefix="0" xfId="0"/>
    <xf numFmtId="0" fontId="0" fillId="10" borderId="0" pivotButton="0" quotePrefix="0" xfId="0"/>
    <xf numFmtId="0" fontId="0" fillId="7" borderId="0" pivotButton="0" quotePrefix="0" xfId="0"/>
    <xf numFmtId="0" fontId="0" fillId="12" borderId="0" pivotButton="0" quotePrefix="0" xfId="0"/>
    <xf numFmtId="0" fontId="0" fillId="11" borderId="0" pivotButton="0" quotePrefix="0" xfId="0"/>
    <xf numFmtId="0" fontId="35" fillId="6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left" vertical="center" indent="1"/>
    </xf>
    <xf numFmtId="0" fontId="51" fillId="6" borderId="0" applyAlignment="1" pivotButton="0" quotePrefix="0" xfId="0">
      <alignment horizontal="left" vertical="center" indent="1"/>
    </xf>
    <xf numFmtId="0" fontId="38" fillId="6" borderId="0" applyAlignment="1" pivotButton="0" quotePrefix="0" xfId="0">
      <alignment horizontal="left" vertical="center" indent="1"/>
    </xf>
    <xf numFmtId="0" fontId="52" fillId="6" borderId="0" applyAlignment="1" pivotButton="0" quotePrefix="0" xfId="0">
      <alignment horizontal="left" vertical="center" indent="1"/>
    </xf>
    <xf numFmtId="169" fontId="36" fillId="6" borderId="0" applyAlignment="1" pivotButton="0" quotePrefix="0" xfId="0">
      <alignment horizontal="left" vertical="center" indent="1"/>
    </xf>
    <xf numFmtId="9" fontId="36" fillId="6" borderId="0" applyAlignment="1" pivotButton="0" quotePrefix="0" xfId="0">
      <alignment horizontal="left" vertical="center" indent="1"/>
    </xf>
    <xf numFmtId="0" fontId="36" fillId="6" borderId="0" applyAlignment="1" pivotButton="0" quotePrefix="0" xfId="0">
      <alignment horizontal="left" vertical="center" indent="1"/>
    </xf>
    <xf numFmtId="0" fontId="53" fillId="2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left" vertical="center" indent="1"/>
    </xf>
    <xf numFmtId="0" fontId="26" fillId="6" borderId="0" applyAlignment="1" pivotButton="0" quotePrefix="0" xfId="0">
      <alignment horizontal="left" vertical="center" indent="1"/>
    </xf>
    <xf numFmtId="9" fontId="54" fillId="6" borderId="0" applyAlignment="1" pivotButton="0" quotePrefix="0" xfId="0">
      <alignment horizontal="center" vertical="center"/>
    </xf>
    <xf numFmtId="173" fontId="0" fillId="8" borderId="0" pivotButton="0" quotePrefix="0" xfId="0"/>
    <xf numFmtId="9" fontId="18" fillId="6" borderId="0" applyAlignment="1" pivotButton="0" quotePrefix="0" xfId="0">
      <alignment horizontal="center" vertical="center"/>
    </xf>
    <xf numFmtId="9" fontId="55" fillId="6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top" wrapText="1"/>
    </xf>
    <xf numFmtId="0" fontId="27" fillId="2" borderId="0" pivotButton="0" quotePrefix="0" xfId="0"/>
    <xf numFmtId="0" fontId="25" fillId="2" borderId="0" pivotButton="0" quotePrefix="0" xfId="0"/>
    <xf numFmtId="169" fontId="25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164" fontId="7" fillId="4" borderId="1" applyAlignment="1" pivotButton="0" quotePrefix="0" xfId="0">
      <alignment horizontal="center" vertical="center"/>
    </xf>
    <xf numFmtId="0" fontId="13" fillId="6" borderId="0" applyAlignment="1" pivotButton="0" quotePrefix="0" xfId="0">
      <alignment horizontal="left" vertical="center" indent="1"/>
    </xf>
    <xf numFmtId="165" fontId="7" fillId="4" borderId="1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 indent="1"/>
    </xf>
    <xf numFmtId="0" fontId="14" fillId="6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 indent="1"/>
    </xf>
    <xf numFmtId="0" fontId="16" fillId="6" borderId="0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164" fontId="9" fillId="2" borderId="0" applyAlignment="1" pivotButton="0" quotePrefix="0" xfId="0">
      <alignment horizontal="center" vertical="center"/>
    </xf>
    <xf numFmtId="164" fontId="10" fillId="2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 indent="1"/>
    </xf>
    <xf numFmtId="164" fontId="12" fillId="5" borderId="0" applyAlignment="1" pivotButton="0" quotePrefix="0" xfId="0">
      <alignment horizontal="center" vertical="center"/>
    </xf>
    <xf numFmtId="0" fontId="17" fillId="8" borderId="2" applyAlignment="1" pivotButton="0" quotePrefix="0" xfId="0">
      <alignment horizontal="left" vertical="center" indent="1"/>
    </xf>
    <xf numFmtId="0" fontId="17" fillId="8" borderId="2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0" fillId="0" borderId="4" pivotButton="0" quotePrefix="0" xfId="0"/>
    <xf numFmtId="167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164" fontId="18" fillId="5" borderId="0" applyAlignment="1" pivotButton="0" quotePrefix="0" xfId="0">
      <alignment horizontal="center" vertical="center"/>
    </xf>
    <xf numFmtId="168" fontId="7" fillId="4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center" vertical="center"/>
    </xf>
    <xf numFmtId="0" fontId="1" fillId="10" borderId="0" pivotButton="0" quotePrefix="0" xfId="0"/>
    <xf numFmtId="0" fontId="20" fillId="5" borderId="0" applyAlignment="1" pivotButton="0" quotePrefix="0" xfId="0">
      <alignment horizontal="left" vertical="center" indent="1"/>
    </xf>
    <xf numFmtId="164" fontId="2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22" fillId="6" borderId="0" applyAlignment="1" pivotButton="0" quotePrefix="0" xfId="0">
      <alignment horizontal="left" vertical="center" indent="1"/>
    </xf>
    <xf numFmtId="164" fontId="23" fillId="6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9" fontId="26" fillId="8" borderId="5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27" fillId="6" borderId="0" applyAlignment="1" pivotButton="0" quotePrefix="0" xfId="0">
      <alignment horizontal="left" vertical="center" indent="1"/>
    </xf>
    <xf numFmtId="0" fontId="1" fillId="11" borderId="0" pivotButton="0" quotePrefix="0" xfId="0"/>
    <xf numFmtId="0" fontId="29" fillId="8" borderId="2" applyAlignment="1" pivotButton="0" quotePrefix="0" xfId="0">
      <alignment horizontal="left" vertical="center" indent="1"/>
    </xf>
    <xf numFmtId="0" fontId="29" fillId="8" borderId="2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169" fontId="31" fillId="6" borderId="0" applyAlignment="1" pivotButton="0" quotePrefix="0" xfId="0">
      <alignment horizontal="center" vertical="center"/>
    </xf>
    <xf numFmtId="169" fontId="31" fillId="9" borderId="0" applyAlignment="1" pivotButton="0" quotePrefix="0" xfId="0">
      <alignment horizontal="center" vertical="center"/>
    </xf>
    <xf numFmtId="0" fontId="31" fillId="5" borderId="0" applyAlignment="1" pivotButton="0" quotePrefix="0" xfId="0">
      <alignment horizontal="left" vertical="center" indent="1"/>
    </xf>
    <xf numFmtId="169" fontId="32" fillId="2" borderId="0" applyAlignment="1" pivotButton="0" quotePrefix="0" xfId="0">
      <alignment horizontal="center" vertical="center"/>
    </xf>
    <xf numFmtId="164" fontId="32" fillId="5" borderId="0" applyAlignment="1" pivotButton="0" quotePrefix="0" xfId="0">
      <alignment horizontal="center" vertical="center"/>
    </xf>
    <xf numFmtId="167" fontId="33" fillId="2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1" fillId="8" borderId="2" applyAlignment="1" pivotButton="0" quotePrefix="0" xfId="0">
      <alignment horizontal="center" vertical="center"/>
    </xf>
    <xf numFmtId="0" fontId="1" fillId="6" borderId="5" applyAlignment="1" pivotButton="0" quotePrefix="0" xfId="0">
      <alignment horizontal="right" vertical="top"/>
    </xf>
    <xf numFmtId="0" fontId="48" fillId="2" borderId="0" applyAlignment="1" pivotButton="0" quotePrefix="0" xfId="0">
      <alignment horizontal="left" vertical="center" indent="1"/>
    </xf>
    <xf numFmtId="169" fontId="33" fillId="2" borderId="0" applyAlignment="1" pivotButton="0" quotePrefix="0" xfId="0">
      <alignment horizontal="center" vertical="center"/>
    </xf>
    <xf numFmtId="164" fontId="21" fillId="2" borderId="0" applyAlignment="1" pivotButton="0" quotePrefix="0" xfId="0">
      <alignment horizontal="center" vertical="center"/>
    </xf>
    <xf numFmtId="166" fontId="21" fillId="2" borderId="0" applyAlignment="1" pivotButton="0" quotePrefix="0" xfId="0">
      <alignment horizontal="center" vertical="center"/>
    </xf>
    <xf numFmtId="172" fontId="7" fillId="4" borderId="1" applyAlignment="1" pivotButton="0" quotePrefix="0" xfId="0">
      <alignment horizontal="center" vertical="center"/>
    </xf>
    <xf numFmtId="169" fontId="7" fillId="4" borderId="1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 indent="1"/>
    </xf>
    <xf numFmtId="0" fontId="14" fillId="8" borderId="2" applyAlignment="1" pivotButton="0" quotePrefix="0" xfId="0">
      <alignment horizontal="left" vertical="center" indent="1"/>
    </xf>
    <xf numFmtId="0" fontId="14" fillId="8" borderId="2" applyAlignment="1" pivotButton="0" quotePrefix="0" xfId="0">
      <alignment horizontal="center" vertical="center"/>
    </xf>
    <xf numFmtId="0" fontId="47" fillId="2" borderId="0" pivotButton="0" quotePrefix="0" xfId="0"/>
    <xf numFmtId="0" fontId="45" fillId="6" borderId="0" applyAlignment="1" pivotButton="0" quotePrefix="0" xfId="0">
      <alignment horizontal="left" vertical="center" indent="1"/>
    </xf>
    <xf numFmtId="169" fontId="21" fillId="6" borderId="0" applyAlignment="1" pivotButton="0" quotePrefix="0" xfId="0">
      <alignment horizontal="center" vertical="center"/>
    </xf>
    <xf numFmtId="166" fontId="33" fillId="6" borderId="0" applyAlignment="1" pivotButton="0" quotePrefix="0" xfId="0">
      <alignment horizontal="center" vertical="center"/>
    </xf>
    <xf numFmtId="169" fontId="33" fillId="6" borderId="0" applyAlignment="1" pivotButton="0" quotePrefix="0" xfId="0">
      <alignment horizontal="center" vertical="center"/>
    </xf>
    <xf numFmtId="1" fontId="45" fillId="6" borderId="0" applyAlignment="1" pivotButton="0" quotePrefix="0" xfId="0">
      <alignment horizontal="center" vertical="center"/>
    </xf>
    <xf numFmtId="168" fontId="11" fillId="6" borderId="0" applyAlignment="1" pivotButton="0" quotePrefix="0" xfId="0">
      <alignment horizontal="center" vertical="center"/>
    </xf>
    <xf numFmtId="169" fontId="41" fillId="2" borderId="0" pivotButton="0" quotePrefix="0" xfId="0"/>
    <xf numFmtId="0" fontId="45" fillId="9" borderId="0" applyAlignment="1" pivotButton="0" quotePrefix="0" xfId="0">
      <alignment horizontal="left" vertical="center" indent="1"/>
    </xf>
    <xf numFmtId="169" fontId="21" fillId="9" borderId="0" applyAlignment="1" pivotButton="0" quotePrefix="0" xfId="0">
      <alignment horizontal="center" vertical="center"/>
    </xf>
    <xf numFmtId="166" fontId="33" fillId="9" borderId="0" applyAlignment="1" pivotButton="0" quotePrefix="0" xfId="0">
      <alignment horizontal="center" vertical="center"/>
    </xf>
    <xf numFmtId="1" fontId="45" fillId="9" borderId="0" applyAlignment="1" pivotButton="0" quotePrefix="0" xfId="0">
      <alignment horizontal="center" vertical="center"/>
    </xf>
    <xf numFmtId="168" fontId="11" fillId="9" borderId="0" applyAlignment="1" pivotButton="0" quotePrefix="0" xfId="0">
      <alignment horizontal="center" vertical="center"/>
    </xf>
    <xf numFmtId="0" fontId="49" fillId="5" borderId="0" applyAlignment="1" pivotButton="0" quotePrefix="0" xfId="0">
      <alignment horizontal="left" vertical="center" indent="1"/>
    </xf>
    <xf numFmtId="169" fontId="21" fillId="5" borderId="0" applyAlignment="1" pivotButton="0" quotePrefix="0" xfId="0">
      <alignment horizontal="center" vertical="center"/>
    </xf>
    <xf numFmtId="168" fontId="18" fillId="5" borderId="0" applyAlignment="1" pivotButton="0" quotePrefix="0" xfId="0">
      <alignment horizontal="center" vertical="center"/>
    </xf>
    <xf numFmtId="164" fontId="18" fillId="6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 indent="1"/>
    </xf>
    <xf numFmtId="0" fontId="43" fillId="9" borderId="0" applyAlignment="1" pivotButton="0" quotePrefix="0" xfId="0">
      <alignment horizontal="center" vertical="center"/>
    </xf>
    <xf numFmtId="0" fontId="43" fillId="9" borderId="0" applyAlignment="1" pivotButton="0" quotePrefix="0" xfId="0">
      <alignment horizontal="left" vertical="center" indent="1"/>
    </xf>
    <xf numFmtId="0" fontId="44" fillId="6" borderId="0" applyAlignment="1" pivotButton="0" quotePrefix="0" xfId="0">
      <alignment horizontal="center" vertical="center"/>
    </xf>
    <xf numFmtId="0" fontId="44" fillId="6" borderId="0" applyAlignment="1" pivotButton="0" quotePrefix="0" xfId="0">
      <alignment horizontal="left" vertical="center" indent="1"/>
    </xf>
    <xf numFmtId="0" fontId="26" fillId="9" borderId="0" applyAlignment="1" pivotButton="0" quotePrefix="0" xfId="0">
      <alignment horizontal="left" vertical="center" indent="1"/>
    </xf>
    <xf numFmtId="0" fontId="25" fillId="9" borderId="0" applyAlignment="1" pivotButton="0" quotePrefix="0" xfId="0">
      <alignment horizontal="left" vertical="center" indent="1"/>
    </xf>
    <xf numFmtId="0" fontId="43" fillId="6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center" vertical="center"/>
    </xf>
    <xf numFmtId="169" fontId="18" fillId="6" borderId="0" applyAlignment="1" pivotButton="0" quotePrefix="0" xfId="0">
      <alignment horizontal="center" vertical="center"/>
    </xf>
    <xf numFmtId="9" fontId="33" fillId="6" borderId="0" applyAlignment="1" pivotButton="0" quotePrefix="0" xfId="0">
      <alignment horizontal="center" vertical="center"/>
    </xf>
    <xf numFmtId="0" fontId="46" fillId="6" borderId="0" applyAlignment="1" pivotButton="0" quotePrefix="0" xfId="0">
      <alignment horizontal="center" vertical="center"/>
    </xf>
    <xf numFmtId="168" fontId="33" fillId="6" borderId="0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  <xf numFmtId="169" fontId="18" fillId="9" borderId="0" applyAlignment="1" pivotButton="0" quotePrefix="0" xfId="0">
      <alignment horizontal="center" vertical="center"/>
    </xf>
    <xf numFmtId="9" fontId="33" fillId="9" borderId="0" applyAlignment="1" pivotButton="0" quotePrefix="0" xfId="0">
      <alignment horizontal="center" vertical="center"/>
    </xf>
    <xf numFmtId="169" fontId="32" fillId="9" borderId="0" applyAlignment="1" pivotButton="0" quotePrefix="0" xfId="0">
      <alignment horizontal="center" vertical="center"/>
    </xf>
    <xf numFmtId="168" fontId="33" fillId="9" borderId="0" applyAlignment="1" pivotButton="0" quotePrefix="0" xfId="0">
      <alignment horizontal="center" vertical="center"/>
    </xf>
    <xf numFmtId="0" fontId="18" fillId="9" borderId="0" applyAlignment="1" pivotButton="0" quotePrefix="0" xfId="0">
      <alignment horizontal="center" vertical="center"/>
    </xf>
    <xf numFmtId="169" fontId="32" fillId="6" borderId="0" applyAlignment="1" pivotButton="0" quotePrefix="0" xfId="0">
      <alignment horizontal="center" vertical="center"/>
    </xf>
    <xf numFmtId="0" fontId="1" fillId="7" borderId="0" pivotButton="0" quotePrefix="0" xfId="0"/>
    <xf numFmtId="0" fontId="56" fillId="2" borderId="0" pivotButton="0" quotePrefix="0" xfId="0"/>
    <xf numFmtId="169" fontId="57" fillId="2" borderId="0" pivotButton="0" quotePrefix="0" xfId="0"/>
    <xf numFmtId="169" fontId="58" fillId="2" borderId="0" pivotButton="0" quotePrefix="0" xfId="0"/>
    <xf numFmtId="169" fontId="59" fillId="2" borderId="0" pivotButton="0" quotePrefix="0" xfId="0"/>
    <xf numFmtId="169" fontId="56" fillId="2" borderId="0" pivotButton="0" quotePrefix="0" xfId="0"/>
    <xf numFmtId="0" fontId="1" fillId="12" borderId="0" pivotButton="0" quotePrefix="0" xfId="0"/>
    <xf numFmtId="167" fontId="5" fillId="4" borderId="1" applyAlignment="1" pivotButton="0" quotePrefix="0" xfId="0">
      <alignment horizontal="left" vertical="top" wrapText="1"/>
    </xf>
    <xf numFmtId="0" fontId="0" fillId="0" borderId="12" pivotButton="0" quotePrefix="0" xfId="0"/>
    <xf numFmtId="0" fontId="39" fillId="2" borderId="0" applyAlignment="1" pivotButton="0" quotePrefix="0" xfId="0">
      <alignment horizontal="left" vertical="center" indent="1"/>
    </xf>
    <xf numFmtId="171" fontId="25" fillId="6" borderId="0" applyAlignment="1" pivotButton="0" quotePrefix="0" xfId="0">
      <alignment horizontal="center" vertical="center"/>
    </xf>
    <xf numFmtId="169" fontId="40" fillId="6" borderId="0" applyAlignment="1" pivotButton="0" quotePrefix="0" xfId="0">
      <alignment horizontal="center" vertical="center"/>
    </xf>
    <xf numFmtId="169" fontId="41" fillId="6" borderId="0" applyAlignment="1" pivotButton="0" quotePrefix="0" xfId="0">
      <alignment horizontal="center" vertical="center"/>
    </xf>
    <xf numFmtId="169" fontId="42" fillId="6" borderId="0" applyAlignment="1" pivotButton="0" quotePrefix="0" xfId="0">
      <alignment horizontal="center" vertical="center"/>
    </xf>
    <xf numFmtId="171" fontId="25" fillId="9" borderId="0" applyAlignment="1" pivotButton="0" quotePrefix="0" xfId="0">
      <alignment horizontal="center" vertical="center"/>
    </xf>
    <xf numFmtId="169" fontId="40" fillId="9" borderId="0" applyAlignment="1" pivotButton="0" quotePrefix="0" xfId="0">
      <alignment horizontal="center" vertical="center"/>
    </xf>
    <xf numFmtId="169" fontId="41" fillId="9" borderId="0" applyAlignment="1" pivotButton="0" quotePrefix="0" xfId="0">
      <alignment horizontal="center" vertical="center"/>
    </xf>
    <xf numFmtId="169" fontId="42" fillId="9" borderId="0" applyAlignment="1" pivotButton="0" quotePrefix="0" xfId="0">
      <alignment horizontal="center" vertical="center"/>
    </xf>
    <xf numFmtId="0" fontId="60" fillId="2" borderId="0" applyAlignment="1" pivotButton="0" quotePrefix="0" xfId="0">
      <alignment horizontal="left" vertical="center" indent="1"/>
    </xf>
    <xf numFmtId="0" fontId="61" fillId="8" borderId="2" applyAlignment="1" pivotButton="0" quotePrefix="0" xfId="0">
      <alignment horizontal="center" vertical="center"/>
    </xf>
    <xf numFmtId="0" fontId="62" fillId="8" borderId="0" applyAlignment="1" pivotButton="0" quotePrefix="0" xfId="0">
      <alignment horizontal="center" vertical="center"/>
    </xf>
    <xf numFmtId="9" fontId="11" fillId="6" borderId="0" applyAlignment="1" pivotButton="0" quotePrefix="0" xfId="0">
      <alignment horizontal="center" vertical="center"/>
    </xf>
    <xf numFmtId="9" fontId="11" fillId="9" borderId="0" applyAlignment="1" pivotButton="0" quotePrefix="0" xfId="0">
      <alignment horizontal="center" vertical="center"/>
    </xf>
    <xf numFmtId="0" fontId="26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1A1E2B"/>
        <sz val="11"/>
      </font>
      <fill>
        <patternFill patternType="solid">
          <fgColor rgb="0035E6B6"/>
        </patternFill>
      </fill>
    </dxf>
    <dxf>
      <font>
        <name val="Calibri"/>
        <b val="1"/>
        <color rgb="00F4F6FB"/>
        <sz val="10"/>
      </font>
      <fill>
        <patternFill patternType="solid">
          <fgColor rgb="00E8497C"/>
        </patternFill>
      </fill>
    </dxf>
    <dxf>
      <font>
        <name val="Calibri"/>
        <b val="1"/>
        <color rgb="0035E6B6"/>
        <sz val="10"/>
      </font>
      <fill>
        <patternFill patternType="solid">
          <fgColor rgb="001F3D34"/>
        </patternFill>
      </fill>
    </dxf>
    <dxf>
      <font>
        <name val="Calibri"/>
        <b val="1"/>
        <color rgb="001A1E2B"/>
        <sz val="10"/>
      </font>
      <fill>
        <patternFill patternType="solid">
          <fgColor rgb="0035E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v>Income</v>
          </tx>
          <spPr>
            <a:solidFill>
              <a:srgbClr val="35E6B6"/>
            </a:solidFill>
            <a:ln>
              <a:noFill/>
              <a:prstDash val="solid"/>
            </a:ln>
          </spPr>
          <cat>
            <numRef>
              <f>'MonthData'!$B$2:$B$13</f>
            </numRef>
          </cat>
          <val>
            <numRef>
              <f>'MonthData'!$M$2:$M$13</f>
            </numRef>
          </val>
        </ser>
        <ser>
          <idx val="1"/>
          <order val="1"/>
          <tx>
            <v>Expenses</v>
          </tx>
          <spPr>
            <a:solidFill>
              <a:srgbClr val="FF6792"/>
            </a:solidFill>
            <a:ln>
              <a:noFill/>
              <a:prstDash val="solid"/>
            </a:ln>
          </spPr>
          <cat>
            <numRef>
              <f>'MonthData'!$B$2:$B$13</f>
            </numRef>
          </cat>
          <val>
            <numRef>
              <f>'MonthData'!$N$2:$N$13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w="9525">
            <a:solidFill>
              <a:srgbClr val="3C4660"/>
            </a:solidFill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3C4660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"/>
      </valAx>
      <spPr>
        <a:solidFill>
          <a:srgbClr val="232A3D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50">
              <a:solidFill>
                <a:srgbClr val="AEB7CF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232A3D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6792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1"/>
            <spPr>
              <a:solidFill>
                <a:srgbClr val="5B93FF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2"/>
            <spPr>
              <a:solidFill>
                <a:srgbClr val="B084F5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3"/>
            <spPr>
              <a:solidFill>
                <a:srgbClr val="35E6B6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4"/>
            <spPr>
              <a:solidFill>
                <a:srgbClr val="FFCF5C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5"/>
            <spPr>
              <a:solidFill>
                <a:srgbClr val="FF9F6B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6"/>
            <spPr>
              <a:solidFill>
                <a:srgbClr val="8AD4FF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cat>
            <numRef>
              <f>'Dashboard'!$B$61:$B$67</f>
            </numRef>
          </cat>
          <val>
            <numRef>
              <f>'Dashboard'!$C$61:$C$67</f>
            </numRef>
          </val>
        </ser>
        <dLbls>
          <numFmt formatCode="0%"/>
          <txPr>
            <a:bodyPr/>
            <a:p>
              <a:pPr>
                <a:defRPr sz="850">
                  <a:solidFill>
                    <a:srgbClr val="F4F6FB"/>
                  </a:solidFill>
                  <a:latin typeface="Calibri"/>
                </a:defRPr>
              </a:pPr>
              <a:r>
                <a:t/>
              </a:r>
            </a:p>
          </txPr>
          <showLegendKey val="0"/>
          <showVal val="0"/>
          <showCatName val="0"/>
          <showSerName val="0"/>
          <showPercent val="1"/>
        </dLbls>
        <firstSliceAng val="0"/>
        <holeSize val="58"/>
      </doughnutChart>
      <spPr>
        <a:solidFill>
          <a:srgbClr val="232A3D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50">
              <a:solidFill>
                <a:srgbClr val="AEB7CF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232A3D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areaChart>
        <grouping val="standard"/>
        <ser>
          <idx val="0"/>
          <order val="0"/>
          <tx>
            <strRef>
              <f>'MonthData'!L1</f>
            </strRef>
          </tx>
          <spPr>
            <a:gradFill>
              <a:gsLst>
                <a:gs pos="0">
                  <a:srgbClr val="35E6B6"/>
                </a:gs>
                <a:gs pos="100000">
                  <a:srgbClr val="232A3D"/>
                </a:gs>
              </a:gsLst>
              <a:lin ang="5400000" scaled="1"/>
            </a:gradFill>
            <a:ln w="25400">
              <a:solidFill>
                <a:srgbClr val="35E6B6"/>
              </a:solidFill>
              <a:prstDash val="solid"/>
            </a:ln>
          </spPr>
          <cat>
            <numRef>
              <f>'MonthData'!$B$2:$B$13</f>
            </numRef>
          </cat>
          <val>
            <numRef>
              <f>'MonthData'!$L$2:$L$13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w="9525">
            <a:solidFill>
              <a:srgbClr val="3C4660"/>
            </a:solidFill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3C4660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"/>
      </valAx>
      <spPr>
        <a:solidFill>
          <a:srgbClr val="232A3D"/>
        </a:solidFill>
        <a:ln>
          <a:noFill/>
          <a:prstDash val="solid"/>
        </a:ln>
      </spPr>
    </plotArea>
    <plotVisOnly val="1"/>
    <dispBlanksAs val="gap"/>
  </chart>
  <spPr>
    <a:solidFill>
      <a:srgbClr val="232A3D"/>
    </a:solidFill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areaChart>
        <grouping val="standard"/>
        <ser>
          <idx val="0"/>
          <order val="0"/>
          <tx>
            <strRef>
              <f>'Debt Tracker'!R15</f>
            </strRef>
          </tx>
          <spPr>
            <a:gradFill>
              <a:gsLst>
                <a:gs pos="0">
                  <a:srgbClr val="FF6792"/>
                </a:gs>
                <a:gs pos="100000">
                  <a:srgbClr val="232A3D"/>
                </a:gs>
              </a:gsLst>
              <a:lin ang="5400000" scaled="1"/>
            </a:gradFill>
            <a:ln w="25400">
              <a:solidFill>
                <a:srgbClr val="FF6792"/>
              </a:solidFill>
              <a:prstDash val="solid"/>
            </a:ln>
          </spPr>
          <cat>
            <numRef>
              <f>'Debt Tracker'!$Q$16:$Q$28</f>
            </numRef>
          </cat>
          <val>
            <numRef>
              <f>'Debt Tracker'!$R$16:$R$28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w="9525">
            <a:solidFill>
              <a:srgbClr val="3C4660"/>
            </a:solidFill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3C4660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"/>
      </valAx>
      <spPr>
        <a:solidFill>
          <a:srgbClr val="232A3D"/>
        </a:solidFill>
        <a:ln>
          <a:noFill/>
          <a:prstDash val="solid"/>
        </a:ln>
      </spPr>
    </plotArea>
    <plotVisOnly val="1"/>
    <dispBlanksAs val="gap"/>
  </chart>
  <spPr>
    <a:solidFill>
      <a:srgbClr val="232A3D"/>
    </a:solidFill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6792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1"/>
            <spPr>
              <a:solidFill>
                <a:srgbClr val="5B93FF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2"/>
            <spPr>
              <a:solidFill>
                <a:srgbClr val="B084F5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3"/>
            <spPr>
              <a:solidFill>
                <a:srgbClr val="FFCF5C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cat>
            <numRef>
              <f>'Debt Tracker'!$B$16:$B$19</f>
            </numRef>
          </cat>
          <val>
            <numRef>
              <f>'Debt Tracker'!$C$16:$C$19</f>
            </numRef>
          </val>
        </ser>
        <dLbls>
          <numFmt formatCode="0%"/>
          <txPr>
            <a:bodyPr/>
            <a:p>
              <a:pPr>
                <a:defRPr sz="850">
                  <a:solidFill>
                    <a:srgbClr val="F4F6FB"/>
                  </a:solidFill>
                  <a:latin typeface="Calibri"/>
                </a:defRPr>
              </a:pPr>
              <a:r>
                <a:t/>
              </a:r>
            </a:p>
          </txPr>
          <showLegendKey val="0"/>
          <showVal val="0"/>
          <showCatName val="0"/>
          <showSerName val="0"/>
          <showPercent val="1"/>
        </dLbls>
        <firstSliceAng val="0"/>
        <holeSize val="58"/>
      </doughnutChart>
      <spPr>
        <a:solidFill>
          <a:srgbClr val="232A3D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50">
              <a:solidFill>
                <a:srgbClr val="AEB7CF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232A3D"/>
    </a:solidFill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5B93FF"/>
            </a:solidFill>
            <a:ln>
              <a:noFill/>
              <a:prstDash val="solid"/>
            </a:ln>
          </spPr>
          <cat>
            <numRef>
              <f>'Debt Tracker'!$B$16:$B$19</f>
            </numRef>
          </cat>
          <val>
            <numRef>
              <f>'Debt Tracker'!$G$16:$G$19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w="9525">
            <a:solidFill>
              <a:srgbClr val="3C4660"/>
            </a:solidFill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3C4660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"/>
      </valAx>
      <spPr>
        <a:solidFill>
          <a:srgbClr val="232A3D"/>
        </a:solidFill>
        <a:ln>
          <a:noFill/>
          <a:prstDash val="solid"/>
        </a:ln>
      </spPr>
    </plotArea>
    <plotVisOnly val="1"/>
    <dispBlanksAs val="gap"/>
  </chart>
  <spPr>
    <a:solidFill>
      <a:srgbClr val="232A3D"/>
    </a:solidFill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E6B6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1"/>
            <spPr>
              <a:solidFill>
                <a:srgbClr val="B084F5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2"/>
            <spPr>
              <a:solidFill>
                <a:srgbClr val="5B93FF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3"/>
            <spPr>
              <a:solidFill>
                <a:srgbClr val="FFCF5C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cat>
            <numRef>
              <f>'Savings &amp; Goals'!$B$56:$B$59</f>
            </numRef>
          </cat>
          <val>
            <numRef>
              <f>'Savings &amp; Goals'!$C$56:$C$59</f>
            </numRef>
          </val>
        </ser>
        <dLbls>
          <numFmt formatCode="0%"/>
          <txPr>
            <a:bodyPr/>
            <a:p>
              <a:pPr>
                <a:defRPr sz="850">
                  <a:solidFill>
                    <a:srgbClr val="F4F6FB"/>
                  </a:solidFill>
                  <a:latin typeface="Calibri"/>
                </a:defRPr>
              </a:pPr>
              <a:r>
                <a:t/>
              </a:r>
            </a:p>
          </txPr>
          <showLegendKey val="0"/>
          <showVal val="0"/>
          <showCatName val="0"/>
          <showSerName val="0"/>
          <showPercent val="1"/>
        </dLbls>
        <firstSliceAng val="0"/>
        <holeSize val="58"/>
      </doughnutChart>
      <spPr>
        <a:solidFill>
          <a:srgbClr val="232A3D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50">
              <a:solidFill>
                <a:srgbClr val="AEB7CF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232A3D"/>
    </a:solidFill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'Net Worth'!O51</f>
            </strRef>
          </tx>
          <spPr>
            <a:solidFill>
              <a:srgbClr val="35E6B6"/>
            </a:solidFill>
            <a:ln>
              <a:noFill/>
              <a:prstDash val="solid"/>
            </a:ln>
          </spPr>
          <cat>
            <numRef>
              <f>'Net Worth'!$L$52:$L$63</f>
            </numRef>
          </cat>
          <val>
            <numRef>
              <f>'Net Worth'!$O$52:$O$63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w="9525">
            <a:solidFill>
              <a:srgbClr val="3C4660"/>
            </a:solidFill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3C4660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"/>
      </valAx>
      <spPr>
        <a:solidFill>
          <a:srgbClr val="232A3D"/>
        </a:solidFill>
        <a:ln>
          <a:noFill/>
          <a:prstDash val="solid"/>
        </a:ln>
      </spPr>
    </plotArea>
    <plotVisOnly val="1"/>
    <dispBlanksAs val="gap"/>
  </chart>
  <spPr>
    <a:solidFill>
      <a:srgbClr val="232A3D"/>
    </a:solidFill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E6B6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1"/>
            <spPr>
              <a:solidFill>
                <a:srgbClr val="B084F5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2"/>
            <spPr>
              <a:solidFill>
                <a:srgbClr val="5B93FF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3"/>
            <spPr>
              <a:solidFill>
                <a:srgbClr val="FFCF5C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cat>
            <numRef>
              <f>'Net Worth'!$B$60:$B$63</f>
            </numRef>
          </cat>
          <val>
            <numRef>
              <f>'Net Worth'!$C$60:$C$63</f>
            </numRef>
          </val>
        </ser>
        <dLbls>
          <numFmt formatCode="0%"/>
          <txPr>
            <a:bodyPr/>
            <a:p>
              <a:pPr>
                <a:defRPr sz="850">
                  <a:solidFill>
                    <a:srgbClr val="F4F6FB"/>
                  </a:solidFill>
                  <a:latin typeface="Calibri"/>
                </a:defRPr>
              </a:pPr>
              <a:r>
                <a:t/>
              </a:r>
            </a:p>
          </txPr>
          <showLegendKey val="0"/>
          <showVal val="0"/>
          <showCatName val="0"/>
          <showSerName val="0"/>
          <showPercent val="1"/>
        </dLbls>
        <firstSliceAng val="0"/>
        <holeSize val="58"/>
      </doughnutChart>
      <spPr>
        <a:solidFill>
          <a:srgbClr val="232A3D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50">
              <a:solidFill>
                <a:srgbClr val="AEB7CF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232A3D"/>
    </a:solidFill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plotArea>
      <areaChart>
        <grouping val="standard"/>
        <ser>
          <idx val="0"/>
          <order val="0"/>
          <tx>
            <v>Assets</v>
          </tx>
          <spPr>
            <a:gradFill>
              <a:gsLst>
                <a:gs pos="0">
                  <a:srgbClr val="35E6B6"/>
                </a:gs>
                <a:gs pos="100000">
                  <a:srgbClr val="232A3D"/>
                </a:gs>
              </a:gsLst>
              <a:lin ang="5400000" scaled="1"/>
            </a:gradFill>
            <a:ln w="25400">
              <a:solidFill>
                <a:srgbClr val="35E6B6"/>
              </a:solidFill>
              <a:prstDash val="solid"/>
            </a:ln>
          </spPr>
          <cat>
            <numRef>
              <f>'Net Worth'!$L$52:$L$63</f>
            </numRef>
          </cat>
          <val>
            <numRef>
              <f>'Net Worth'!$M$52:$M$63</f>
            </numRef>
          </val>
        </ser>
        <ser>
          <idx val="1"/>
          <order val="1"/>
          <tx>
            <v>Liabilities</v>
          </tx>
          <spPr>
            <a:gradFill>
              <a:gsLst>
                <a:gs pos="0">
                  <a:srgbClr val="FF6792"/>
                </a:gs>
                <a:gs pos="100000">
                  <a:srgbClr val="232A3D"/>
                </a:gs>
              </a:gsLst>
              <a:lin ang="5400000" scaled="1"/>
            </a:gradFill>
            <a:ln w="25400">
              <a:solidFill>
                <a:srgbClr val="FF6792"/>
              </a:solidFill>
              <a:prstDash val="solid"/>
            </a:ln>
          </spPr>
          <cat>
            <numRef>
              <f>'Net Worth'!$L$52:$L$63</f>
            </numRef>
          </cat>
          <val>
            <numRef>
              <f>'Net Worth'!$N$52:$N$63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w="9525">
            <a:solidFill>
              <a:srgbClr val="3C4660"/>
            </a:solidFill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3C4660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"/>
      </valAx>
      <spPr>
        <a:solidFill>
          <a:srgbClr val="232A3D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50">
              <a:solidFill>
                <a:srgbClr val="AEB7CF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232A3D"/>
    </a:solidFill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6792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dPt>
            <idx val="1"/>
            <spPr>
              <a:solidFill>
                <a:srgbClr val="FFCF5C"/>
              </a:solidFill>
              <a:ln w="28575">
                <a:solidFill>
                  <a:srgbClr val="1A1E2B"/>
                </a:solidFill>
                <a:prstDash val="solid"/>
              </a:ln>
            </spPr>
          </dPt>
          <cat>
            <numRef>
              <f>'Net Worth'!$E$60:$E$61</f>
            </numRef>
          </cat>
          <val>
            <numRef>
              <f>'Net Worth'!$F$60:$F$61</f>
            </numRef>
          </val>
        </ser>
        <dLbls>
          <numFmt formatCode="0%"/>
          <txPr>
            <a:bodyPr/>
            <a:p>
              <a:pPr>
                <a:defRPr sz="850">
                  <a:solidFill>
                    <a:srgbClr val="F4F6FB"/>
                  </a:solidFill>
                  <a:latin typeface="Calibri"/>
                </a:defRPr>
              </a:pPr>
              <a:r>
                <a:t/>
              </a:r>
            </a:p>
          </txPr>
          <showLegendKey val="0"/>
          <showVal val="0"/>
          <showCatName val="0"/>
          <showSerName val="0"/>
          <showPercent val="1"/>
        </dLbls>
        <firstSliceAng val="0"/>
        <holeSize val="58"/>
      </doughnutChart>
      <spPr>
        <a:solidFill>
          <a:srgbClr val="232A3D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50">
              <a:solidFill>
                <a:srgbClr val="AEB7CF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232A3D"/>
    </a:solidFill>
    <a:ln>
      <a:noFill/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300" b="1">
                <a:solidFill>
                  <a:srgbClr val="F4F6FB"/>
                </a:solidFill>
                <a:latin typeface="Calibri"/>
              </a:defRPr>
            </a:pPr>
            <a:r>
              <a:rPr sz="1300" b="1">
                <a:solidFill>
                  <a:srgbClr val="F4F6FB"/>
                </a:solidFill>
                <a:latin typeface="Calibri"/>
              </a:rPr>
              <a:t>Side Income vs Expenses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'Side Income'!M37</f>
            </strRef>
          </tx>
          <spPr>
            <a:solidFill>
              <a:srgbClr val="35E6B6"/>
            </a:solidFill>
            <a:ln>
              <a:noFill/>
              <a:prstDash val="solid"/>
            </a:ln>
          </spPr>
          <cat>
            <numRef>
              <f>'Side Income'!$L$38:$L$49</f>
            </numRef>
          </cat>
          <val>
            <numRef>
              <f>'Side Income'!$M$38:$M$49</f>
            </numRef>
          </val>
        </ser>
        <ser>
          <idx val="1"/>
          <order val="1"/>
          <tx>
            <strRef>
              <f>'Side Income'!N37</f>
            </strRef>
          </tx>
          <spPr>
            <a:solidFill>
              <a:srgbClr val="FF6792"/>
            </a:solidFill>
            <a:ln>
              <a:noFill/>
              <a:prstDash val="solid"/>
            </a:ln>
          </spPr>
          <cat>
            <numRef>
              <f>'Side Income'!$L$38:$L$49</f>
            </numRef>
          </cat>
          <val>
            <numRef>
              <f>'Side Income'!$N$38:$N$49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w="9525">
            <a:solidFill>
              <a:srgbClr val="3C4660"/>
            </a:solidFill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3C4660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"/>
      </valAx>
      <spPr>
        <a:solidFill>
          <a:srgbClr val="232A3D"/>
        </a:solidFill>
        <a:ln>
          <a:noFill/>
          <a:prstDash val="solid"/>
        </a:ln>
      </spPr>
    </plotArea>
    <legend>
      <legendPos val="b"/>
      <overlay val="0"/>
      <txPr>
        <a:bodyPr/>
        <a:p>
          <a:pPr>
            <a:defRPr sz="850">
              <a:solidFill>
                <a:srgbClr val="AEB7CF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232A3D"/>
    </a:solidFill>
    <a:ln>
      <a:noFill/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35E6B6"/>
            </a:solidFill>
            <a:ln>
              <a:noFill/>
              <a:prstDash val="solid"/>
            </a:ln>
          </spPr>
          <cat>
            <numRef>
              <f>'Habit Tracker'!$B$8:$B$15</f>
            </numRef>
          </cat>
          <val>
            <numRef>
              <f>'Habit Tracker'!$AH$8:$AH$15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w="9525">
            <a:solidFill>
              <a:srgbClr val="3C4660"/>
            </a:solidFill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3C4660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"/>
      </valAx>
      <spPr>
        <a:solidFill>
          <a:srgbClr val="232A3D"/>
        </a:solidFill>
        <a:ln>
          <a:noFill/>
          <a:prstDash val="solid"/>
        </a:ln>
      </spPr>
    </plotArea>
    <plotVisOnly val="1"/>
    <dispBlanksAs val="gap"/>
  </chart>
  <spPr>
    <a:solidFill>
      <a:srgbClr val="232A3D"/>
    </a:solidFill>
    <a:ln>
      <a:noFill/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chart>
    <plotArea>
      <areaChart>
        <grouping val="standard"/>
        <ser>
          <idx val="0"/>
          <order val="0"/>
          <spPr>
            <a:gradFill>
              <a:gsLst>
                <a:gs pos="0">
                  <a:srgbClr val="B084F5"/>
                </a:gs>
                <a:gs pos="100000">
                  <a:srgbClr val="232A3D"/>
                </a:gs>
              </a:gsLst>
              <a:lin ang="5400000" scaled="1"/>
            </a:gradFill>
            <a:ln w="25400">
              <a:solidFill>
                <a:srgbClr val="B084F5"/>
              </a:solidFill>
              <a:prstDash val="solid"/>
            </a:ln>
          </spPr>
          <cat>
            <numRef>
              <f>'Habit Tracker'!$C$40:$AG$40</f>
            </numRef>
          </cat>
          <val>
            <numRef>
              <f>'Habit Tracker'!$C$41:$AG$41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spPr>
          <a:ln w="9525">
            <a:solidFill>
              <a:srgbClr val="3C4660"/>
            </a:solidFill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3C4660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50">
                <a:solidFill>
                  <a:srgbClr val="AEB7CF"/>
                </a:solidFill>
                <a:latin typeface="Calibri"/>
              </a:defRPr>
            </a:pPr>
            <a:r>
              <a:t/>
            </a:r>
          </a:p>
        </txPr>
        <crossAx val="10"/>
      </valAx>
      <spPr>
        <a:solidFill>
          <a:srgbClr val="232A3D"/>
        </a:solidFill>
        <a:ln>
          <a:noFill/>
          <a:prstDash val="solid"/>
        </a:ln>
      </spPr>
    </plotArea>
    <plotVisOnly val="1"/>
    <dispBlanksAs val="gap"/>
  </chart>
  <spPr>
    <a:solidFill>
      <a:srgbClr val="232A3D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Relationship Type="http://schemas.openxmlformats.org/officeDocument/2006/relationships/chart" Target="/xl/charts/chart10.xml" Id="rId3" /><Relationship Type="http://schemas.openxmlformats.org/officeDocument/2006/relationships/chart" Target="/xl/charts/chart11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630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16</row>
      <rowOff>0</rowOff>
    </from>
    <ext cx="3780000" cy="309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35</row>
      <rowOff>0</rowOff>
    </from>
    <ext cx="6300000" cy="309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5220000" cy="302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30</row>
      <rowOff>0</rowOff>
    </from>
    <ext cx="3420000" cy="302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30</row>
      <rowOff>0</rowOff>
    </from>
    <ext cx="3420000" cy="302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24</row>
      <rowOff>0</rowOff>
    </from>
    <ext cx="3960000" cy="302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558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12</row>
      <rowOff>0</rowOff>
    </from>
    <ext cx="3420000" cy="309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31</row>
      <rowOff>0</rowOff>
    </from>
    <ext cx="5580000" cy="309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31</row>
      <rowOff>0</rowOff>
    </from>
    <ext cx="3420000" cy="309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tabColor rgb="00AEB7CF"/>
    <outlinePr summaryBelow="1" summaryRight="1"/>
    <pageSetUpPr fitToPage="1"/>
  </sheetPr>
  <dimension ref="A1:P70"/>
  <sheetViews>
    <sheetView showGridLines="0" zoomScale="110" workbookViewId="0">
      <selection activeCell="A1" sqref="A1"/>
    </sheetView>
  </sheetViews>
  <sheetFormatPr baseColWidth="8" defaultRowHeight="15"/>
  <cols>
    <col width="2.6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2" t="inlineStr"/>
      <c r="C2" s="3" t="inlineStr">
        <is>
          <t>START HERE</t>
        </is>
      </c>
      <c r="L2" s="1" t="n"/>
      <c r="M2" s="1" t="n"/>
      <c r="N2" s="1" t="n"/>
      <c r="O2" s="1" t="n"/>
      <c r="P2" s="1" t="n"/>
    </row>
    <row r="3">
      <c r="A3" s="1" t="n"/>
      <c r="B3" s="1" t="n"/>
      <c r="C3" s="4" t="inlineStr">
        <is>
          <t>Joel's money workbook — built so you never have to touch a formula.</t>
        </is>
      </c>
      <c r="L3" s="1" t="n"/>
      <c r="M3" s="1" t="n"/>
      <c r="N3" s="1" t="n"/>
      <c r="O3" s="1" t="n"/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5" t="n"/>
      <c r="C5" s="5" t="n"/>
      <c r="D5" s="5" t="n"/>
      <c r="E5" s="5" t="n"/>
      <c r="F5" s="5" t="n"/>
      <c r="G5" s="5" t="n"/>
      <c r="H5" s="5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n"/>
      <c r="B6" s="6" t="inlineStr">
        <is>
          <t>THE ONE RULE</t>
        </is>
      </c>
      <c r="I6" s="1" t="n"/>
      <c r="J6" s="1" t="n"/>
      <c r="K6" s="1" t="n"/>
      <c r="L6" s="1" t="n"/>
      <c r="M6" s="1" t="n"/>
      <c r="N6" s="1" t="n"/>
      <c r="O6" s="1" t="n"/>
      <c r="P6" s="1" t="n"/>
    </row>
    <row r="7">
      <c r="A7" s="1" t="n"/>
      <c r="B7" s="7" t="inlineStr">
        <is>
          <t>You only ever type into the gold cells. Everything else fills itself in. This is a gold cell →</t>
        </is>
      </c>
      <c r="G7" s="8" t="n"/>
      <c r="H7" s="9" t="inlineStr">
        <is>
          <t>type here</t>
        </is>
      </c>
      <c r="I7" s="1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0" t="inlineStr">
        <is>
          <t>If a cell isn't gold, leave it alone — it's doing math for you.</t>
        </is>
      </c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>
      <c r="A10" s="1" t="n"/>
      <c r="B10" s="11" t="inlineStr">
        <is>
          <t>WHAT EACH TAB IS FOR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</row>
    <row r="11" ht="20" customHeight="1">
      <c r="A11" s="1" t="n"/>
      <c r="B11" s="12" t="inlineStr">
        <is>
          <t>Dashboard</t>
        </is>
      </c>
      <c r="D11" s="13" t="inlineStr">
        <is>
          <t>Your overview. Pick a month from the gold dropdown at the top — all the cards and charts update.</t>
        </is>
      </c>
      <c r="I11" s="1" t="n"/>
      <c r="J11" s="1" t="n"/>
      <c r="K11" s="1" t="n"/>
      <c r="L11" s="1" t="n"/>
      <c r="M11" s="1" t="n"/>
      <c r="N11" s="1" t="n"/>
      <c r="O11" s="1" t="n"/>
      <c r="P11" s="1" t="n"/>
    </row>
    <row r="12" ht="20" customHeight="1">
      <c r="A12" s="1" t="n"/>
      <c r="B12" s="12" t="inlineStr">
        <is>
          <t>Income</t>
        </is>
      </c>
      <c r="D12" s="13" t="inlineStr">
        <is>
          <t>Log each real paycheque (date + net $). Government money (tax refund, CGEB, OTB) is set up to add itself.</t>
        </is>
      </c>
      <c r="I12" s="1" t="n"/>
      <c r="J12" s="1" t="n"/>
      <c r="K12" s="1" t="n"/>
      <c r="L12" s="1" t="n"/>
      <c r="M12" s="1" t="n"/>
      <c r="N12" s="1" t="n"/>
      <c r="O12" s="1" t="n"/>
      <c r="P12" s="1" t="n"/>
    </row>
    <row r="13" ht="20" customHeight="1">
      <c r="A13" s="1" t="n"/>
      <c r="B13" s="14" t="inlineStr">
        <is>
          <t>Expenses</t>
        </is>
      </c>
      <c r="D13" s="13" t="inlineStr">
        <is>
          <t>Your fixed bills, plus a takeout log so you can watch extra spending against your $100 grocery budget.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</row>
    <row r="14" ht="20" customHeight="1">
      <c r="A14" s="1" t="n"/>
      <c r="B14" s="15" t="inlineStr">
        <is>
          <t>Bills &amp; Subscriptions</t>
        </is>
      </c>
      <c r="D14" s="13" t="inlineStr">
        <is>
          <t>Tick a box when each bill is paid. The calendar shows which day each bill lands on.</t>
        </is>
      </c>
      <c r="I14" s="1" t="n"/>
      <c r="J14" s="1" t="n"/>
      <c r="K14" s="1" t="n"/>
      <c r="L14" s="1" t="n"/>
      <c r="M14" s="1" t="n"/>
      <c r="N14" s="1" t="n"/>
      <c r="O14" s="1" t="n"/>
      <c r="P14" s="1" t="n"/>
    </row>
    <row r="15" ht="20" customHeight="1">
      <c r="A15" s="1" t="n"/>
      <c r="B15" s="14" t="inlineStr">
        <is>
          <t>Debt Tracker</t>
        </is>
      </c>
      <c r="D15" s="13" t="inlineStr">
        <is>
          <t>India loan converts from rupees automatically. Pay the Avion card in full — it warns you if you don't.</t>
        </is>
      </c>
      <c r="I15" s="1" t="n"/>
      <c r="J15" s="1" t="n"/>
      <c r="K15" s="1" t="n"/>
      <c r="L15" s="1" t="n"/>
      <c r="M15" s="1" t="n"/>
      <c r="N15" s="1" t="n"/>
      <c r="O15" s="1" t="n"/>
      <c r="P15" s="1" t="n"/>
    </row>
    <row r="16" ht="20" customHeight="1">
      <c r="A16" s="1" t="n"/>
      <c r="B16" s="12" t="inlineStr">
        <is>
          <t>Savings &amp; Goals</t>
        </is>
      </c>
      <c r="D16" s="13" t="inlineStr">
        <is>
          <t>Update your account balances. Set goal targets + monthly plans; progress bars do the rest.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20" customHeight="1">
      <c r="A17" s="1" t="n"/>
      <c r="B17" s="16" t="inlineStr">
        <is>
          <t>Net Worth</t>
        </is>
      </c>
      <c r="D17" s="13" t="inlineStr">
        <is>
          <t>Everything you own minus everything you owe. Pulls straight from your other tabs.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</row>
    <row r="18" ht="20" customHeight="1">
      <c r="A18" s="1" t="n"/>
      <c r="B18" s="17" t="inlineStr">
        <is>
          <t>Side Income</t>
        </is>
      </c>
      <c r="D18" s="13" t="inlineStr">
        <is>
          <t>Ready for when you start freelancing — log income &amp; costs, see your profit.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20" customHeight="1">
      <c r="A19" s="1" t="n"/>
      <c r="B19" s="15" t="inlineStr">
        <is>
          <t>Habit Tracker</t>
        </is>
      </c>
      <c r="D19" s="13" t="inlineStr">
        <is>
          <t>Tick a box each day. The % and charts show how you're doing.</t>
        </is>
      </c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8" t="inlineStr">
        <is>
          <t>YOUR SIMPLE ROUTINE — WHICH GOLD CELLS TO UPDATE, AND WHEN</t>
        </is>
      </c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9" t="inlineStr">
        <is>
          <t>EVERY WEEK</t>
        </is>
      </c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3" t="inlineStr">
        <is>
          <t>•  Income tab → add any paycheque you got (date + net $).</t>
        </is>
      </c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3" t="inlineStr">
        <is>
          <t>•  Expenses tab → add takeout/extra spends as they happen.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3" t="inlineStr">
        <is>
          <t>•  Habit tab → tick your daily boxes.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20" t="inlineStr">
        <is>
          <t>EVERY MONTH</t>
        </is>
      </c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3" t="inlineStr">
        <is>
          <t>•  Savings tab → update each account balance from your apps.</t>
        </is>
      </c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3" t="inlineStr">
        <is>
          <t>•  Bills tab → tick off bills as you pay them.</t>
        </is>
      </c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3" t="inlineStr">
        <is>
          <t>•  Debt tab → update the Avion balance (aim for $0).</t>
        </is>
      </c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3" t="inlineStr">
        <is>
          <t>•  Dashboard → switch the month dropdown to the new month.</t>
        </is>
      </c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21" t="inlineStr">
        <is>
          <t>ONE-TIME SETUP (already done for you)</t>
        </is>
      </c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3" t="inlineStr">
        <is>
          <t>•  Pay rate, deduction %, fixed bill amounts.</t>
        </is>
      </c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3" t="inlineStr">
        <is>
          <t>•  Goal targets ($7,150 emergency, $7,000 by Dec, $5,000 trip).</t>
        </is>
      </c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3" t="inlineStr">
        <is>
          <t>•  India loan rupee amount + exchange rate, interest rates.</t>
        </is>
      </c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3" t="inlineStr">
        <is>
          <t>•  Just tweak these if your real numbers change.</t>
        </is>
      </c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</sheetData>
  <mergeCells count="39">
    <mergeCell ref="B7:F7"/>
    <mergeCell ref="B16:C16"/>
    <mergeCell ref="D19:H19"/>
    <mergeCell ref="B6:H6"/>
    <mergeCell ref="B24:H24"/>
    <mergeCell ref="B30:H30"/>
    <mergeCell ref="B33:H33"/>
    <mergeCell ref="B18:C18"/>
    <mergeCell ref="B37:H37"/>
    <mergeCell ref="B12:C12"/>
    <mergeCell ref="C2:K2"/>
    <mergeCell ref="B36:H36"/>
    <mergeCell ref="B21:I21"/>
    <mergeCell ref="B11:C11"/>
    <mergeCell ref="B35:H35"/>
    <mergeCell ref="D11:H11"/>
    <mergeCell ref="D13:H13"/>
    <mergeCell ref="B14:C14"/>
    <mergeCell ref="B17:C17"/>
    <mergeCell ref="B25:H25"/>
    <mergeCell ref="D17:H17"/>
    <mergeCell ref="B31:H31"/>
    <mergeCell ref="B13:C13"/>
    <mergeCell ref="B22:H22"/>
    <mergeCell ref="D16:H16"/>
    <mergeCell ref="B27:H27"/>
    <mergeCell ref="B19:C19"/>
    <mergeCell ref="C3:K3"/>
    <mergeCell ref="D18:H18"/>
    <mergeCell ref="B23:H23"/>
    <mergeCell ref="B8:H8"/>
    <mergeCell ref="D12:H12"/>
    <mergeCell ref="B15:C15"/>
    <mergeCell ref="D15:H15"/>
    <mergeCell ref="B29:H29"/>
    <mergeCell ref="B10:H10"/>
    <mergeCell ref="D14:H14"/>
    <mergeCell ref="B34:H34"/>
    <mergeCell ref="B28:H28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tabColor rgb="0035E6B6"/>
    <outlinePr summaryBelow="1" summaryRight="1"/>
    <pageSetUpPr fitToPage="1"/>
  </sheetPr>
  <dimension ref="A1:V78"/>
  <sheetViews>
    <sheetView showGridLines="0" zoomScale="100" workbookViewId="0">
      <selection activeCell="A1" sqref="A1"/>
    </sheetView>
  </sheetViews>
  <sheetFormatPr baseColWidth="8" defaultRowHeight="15"/>
  <cols>
    <col width="2.6" customWidth="1" min="1" max="1"/>
    <col width="9.199999999999999" customWidth="1" min="2" max="2"/>
    <col width="9.199999999999999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9.199999999999999" customWidth="1" min="9" max="9"/>
    <col width="9.199999999999999" customWidth="1" min="10" max="10"/>
    <col width="9.199999999999999" customWidth="1" min="11" max="11"/>
    <col width="9.199999999999999" customWidth="1" min="12" max="12"/>
    <col width="9.199999999999999" customWidth="1" min="13" max="13"/>
    <col width="9.199999999999999" customWidth="1" min="14" max="14"/>
    <col width="9.199999999999999" customWidth="1" min="15" max="15"/>
    <col width="9.199999999999999" customWidth="1" min="16" max="16"/>
    <col width="9.199999999999999" customWidth="1" min="17" max="17"/>
    <col width="9.199999999999999" customWidth="1" min="18" max="18"/>
    <col width="9.199999999999999" customWidth="1" min="19" max="19"/>
    <col width="9.199999999999999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2" t="inlineStr"/>
      <c r="C2" s="3" t="inlineStr">
        <is>
          <t>DASHBOARD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1" t="n"/>
      <c r="B3" s="1" t="n"/>
      <c r="C3" s="4" t="inlineStr">
        <is>
          <t>Your whole money picture. Pick a month below — everything updates itself.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s="1" t="n"/>
      <c r="B4" s="22" t="inlineStr">
        <is>
          <t>VIEWING MONTH:</t>
        </is>
      </c>
      <c r="D4" s="9" t="inlineStr">
        <is>
          <t>Jun 2026</t>
        </is>
      </c>
      <c r="E4" s="23" t="n"/>
      <c r="F4" s="24" t="inlineStr">
        <is>
          <t>← change this to switch the whole dashboard</t>
        </is>
      </c>
      <c r="I4" s="1" t="n"/>
      <c r="J4" s="1" t="n"/>
      <c r="K4" s="1" t="n"/>
      <c r="L4" s="1" t="n"/>
      <c r="M4" s="1" t="n"/>
      <c r="N4" s="1" t="n"/>
      <c r="O4" s="1" t="n"/>
      <c r="P4" s="25">
        <f>INDEX(Month_Dates,MATCH(Sel_Label,Month_Labels,0))</f>
        <v/>
      </c>
      <c r="Q4" s="1" t="n"/>
      <c r="R4" s="1" t="n"/>
      <c r="S4" s="1" t="n"/>
      <c r="T4" s="1" t="n"/>
      <c r="U4" s="1" t="n"/>
      <c r="V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1" t="n"/>
      <c r="B6" s="5" t="n"/>
      <c r="C6" s="5" t="n"/>
      <c r="D6" s="5" t="n"/>
      <c r="E6" s="5" t="n"/>
      <c r="F6" s="5" t="n"/>
      <c r="G6" s="5" t="n"/>
      <c r="H6" s="26" t="n"/>
      <c r="I6" s="26" t="n"/>
      <c r="J6" s="26" t="n"/>
      <c r="K6" s="27" t="n"/>
      <c r="L6" s="27" t="n"/>
      <c r="M6" s="27" t="n"/>
      <c r="N6" s="28" t="n"/>
      <c r="O6" s="28" t="n"/>
      <c r="P6" s="28" t="n"/>
      <c r="Q6" s="29" t="n"/>
      <c r="R6" s="29" t="n"/>
      <c r="S6" s="29" t="n"/>
      <c r="T6" s="1" t="n"/>
      <c r="U6" s="1" t="n"/>
      <c r="V6" s="1" t="n"/>
    </row>
    <row r="7">
      <c r="A7" s="1" t="n"/>
      <c r="B7" s="30" t="inlineStr">
        <is>
          <t>TOTAL SAVINGS</t>
        </is>
      </c>
      <c r="E7" s="30" t="inlineStr">
        <is>
          <t>THIS MONTH INCOME</t>
        </is>
      </c>
      <c r="H7" s="31" t="inlineStr">
        <is>
          <t>THIS MONTH EXPENSES</t>
        </is>
      </c>
      <c r="K7" s="32" t="inlineStr">
        <is>
          <t>LEFTOVER THIS MONTH</t>
        </is>
      </c>
      <c r="N7" s="33" t="inlineStr">
        <is>
          <t>EMERGENCY FUND</t>
        </is>
      </c>
      <c r="Q7" s="34" t="inlineStr">
        <is>
          <t>ON TRACK FOR $7K?</t>
        </is>
      </c>
      <c r="T7" s="1" t="n"/>
      <c r="U7" s="1" t="n"/>
      <c r="V7" s="1" t="n"/>
    </row>
    <row r="8">
      <c r="A8" s="1" t="n"/>
      <c r="B8" s="35">
        <f>Sav_Total</f>
        <v/>
      </c>
      <c r="E8" s="35">
        <f>INDEX(MonthData!$F$2:$F$13,MATCH(Sel_Label,Month_Labels,0))</f>
        <v/>
      </c>
      <c r="H8" s="35">
        <f>INDEX(MonthData!$J$2:$J$13,MATCH(Sel_Label,Month_Labels,0))</f>
        <v/>
      </c>
      <c r="K8" s="35">
        <f>INDEX(MonthData!$K$2:$K$13,MATCH(Sel_Label,Month_Labels,0))</f>
        <v/>
      </c>
      <c r="N8" s="36">
        <f>EF_Progress</f>
        <v/>
      </c>
      <c r="Q8" s="37">
        <f>OnTrack7k</f>
        <v/>
      </c>
      <c r="T8" s="1" t="n"/>
      <c r="U8" s="1" t="n"/>
      <c r="V8" s="1" t="n"/>
    </row>
    <row r="9">
      <c r="A9" s="1" t="n"/>
      <c r="T9" s="1" t="n"/>
      <c r="U9" s="1" t="n"/>
      <c r="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</row>
    <row r="11">
      <c r="A11" s="1" t="n"/>
      <c r="B11" s="38" t="inlineStr">
        <is>
          <t>THIS YEAR (12-MONTH WINDOW)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</row>
    <row r="12">
      <c r="A12" s="1" t="n"/>
      <c r="B12" s="5" t="n"/>
      <c r="C12" s="5" t="n"/>
      <c r="D12" s="5" t="n"/>
      <c r="E12" s="5" t="n"/>
      <c r="F12" s="5" t="n"/>
      <c r="G12" s="5" t="n"/>
      <c r="H12" s="26" t="n"/>
      <c r="I12" s="26" t="n"/>
      <c r="J12" s="26" t="n"/>
      <c r="K12" s="26" t="n"/>
      <c r="L12" s="26" t="n"/>
      <c r="M12" s="26" t="n"/>
      <c r="N12" s="27" t="n"/>
      <c r="O12" s="27" t="n"/>
      <c r="P12" s="27" t="n"/>
      <c r="Q12" s="27" t="n"/>
      <c r="R12" s="27" t="n"/>
      <c r="S12" s="27" t="n"/>
      <c r="T12" s="1" t="n"/>
      <c r="U12" s="1" t="n"/>
      <c r="V12" s="1" t="n"/>
    </row>
    <row r="13">
      <c r="A13" s="1" t="n"/>
      <c r="B13" s="30" t="inlineStr">
        <is>
          <t>INCOME SO FAR THIS YEAR</t>
        </is>
      </c>
      <c r="H13" s="31" t="inlineStr">
        <is>
          <t>EXPENSES SO FAR THIS YEAR</t>
        </is>
      </c>
      <c r="N13" s="32" t="inlineStr">
        <is>
          <t>SAVED SO FAR THIS YEAR</t>
        </is>
      </c>
      <c r="T13" s="1" t="n"/>
      <c r="U13" s="1" t="n"/>
      <c r="V13" s="1" t="n"/>
    </row>
    <row r="14">
      <c r="A14" s="1" t="n"/>
      <c r="B14" s="35">
        <f>SUMPRODUCT((MonthData!C2:C13&gt;0)*MonthData!F2:F13)</f>
        <v/>
      </c>
      <c r="H14" s="35">
        <f>SUMPRODUCT((MonthData!C2:C13&gt;0)*MonthData!J2:J13)</f>
        <v/>
      </c>
      <c r="N14" s="35">
        <f>SUMPRODUCT((MonthData!C2:C13&gt;0)*MonthData!K2:K13)</f>
        <v/>
      </c>
      <c r="T14" s="1" t="n"/>
      <c r="U14" s="1" t="n"/>
      <c r="V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</row>
    <row r="16">
      <c r="A16" s="1" t="n"/>
      <c r="B16" s="11" t="inlineStr">
        <is>
          <t>INCOME VS EXPENSES BY MONTH</t>
        </is>
      </c>
      <c r="L16" s="1" t="n"/>
      <c r="M16" s="39" t="inlineStr">
        <is>
          <t>WHERE MY MONEY GOES</t>
        </is>
      </c>
      <c r="U16" s="1" t="n"/>
      <c r="V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>
      <c r="A35" s="1" t="n"/>
      <c r="B35" s="11" t="inlineStr">
        <is>
          <t>SAVINGS GROWING OVER TIME</t>
        </is>
      </c>
      <c r="L35" s="1" t="n"/>
      <c r="M35" s="18" t="inlineStr">
        <is>
          <t>GOAL PROGRESS</t>
        </is>
      </c>
      <c r="U35" s="1" t="n"/>
      <c r="V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40" t="inlineStr">
        <is>
          <t>Emergency Fund → $7,150</t>
        </is>
      </c>
      <c r="S37" s="41">
        <f>EF_Progress</f>
        <v/>
      </c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42">
        <f>EF_Progress</f>
        <v/>
      </c>
      <c r="U38" s="1" t="n"/>
      <c r="V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40" t="inlineStr">
        <is>
          <t>$7,000 by Dec 2026</t>
        </is>
      </c>
      <c r="S39" s="43">
        <f>Goal7k_Pct</f>
        <v/>
      </c>
      <c r="U39" s="1" t="n"/>
      <c r="V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42">
        <f>Goal7k_Pct</f>
        <v/>
      </c>
      <c r="U40" s="1" t="n"/>
      <c r="V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40" t="inlineStr">
        <is>
          <t>India Trip → $5,000</t>
        </is>
      </c>
      <c r="S41" s="44">
        <f>Trip_Pct</f>
        <v/>
      </c>
      <c r="U41" s="1" t="n"/>
      <c r="V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42">
        <f>Trip_Pct</f>
        <v/>
      </c>
      <c r="U42" s="1" t="n"/>
      <c r="V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</row>
    <row r="44" ht="2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45" t="inlineStr">
        <is>
          <t>ⓘ  Each bar fills toward its goal. They move on their own as your savings and inputs change.</t>
        </is>
      </c>
      <c r="U44" s="1" t="n"/>
      <c r="V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</row>
    <row r="60">
      <c r="A60" s="1" t="n"/>
      <c r="B60" s="46" t="inlineStr">
        <is>
          <t>Breakdown helper (used by the doughnut)</t>
        </is>
      </c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</row>
    <row r="61">
      <c r="A61" s="1" t="n"/>
      <c r="B61" s="47" t="inlineStr">
        <is>
          <t>Rent</t>
        </is>
      </c>
      <c r="C61" s="48">
        <f>SUMPRODUCT((Fixed_Name="Rent")*Fixed_Amt*(Fixed_Start&lt;=Sel_Month))</f>
        <v/>
      </c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</row>
    <row r="62">
      <c r="A62" s="1" t="n"/>
      <c r="B62" s="47" t="inlineStr">
        <is>
          <t>Phone</t>
        </is>
      </c>
      <c r="C62" s="48">
        <f>SUMPRODUCT((Fixed_Name="Phone (Rogers)")*Fixed_Amt*(Fixed_Start&lt;=Sel_Month))</f>
        <v/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</row>
    <row r="63">
      <c r="A63" s="1" t="n"/>
      <c r="B63" s="47" t="inlineStr">
        <is>
          <t>India loan</t>
        </is>
      </c>
      <c r="C63" s="48">
        <f>SUMPRODUCT((Fixed_Name="India loan payment")*Fixed_Amt*(Fixed_Start&lt;=Sel_Month))</f>
        <v/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</row>
    <row r="64">
      <c r="A64" s="1" t="n"/>
      <c r="B64" s="47" t="inlineStr">
        <is>
          <t>Groceries</t>
        </is>
      </c>
      <c r="C64" s="48">
        <f>SUMPRODUCT((Fixed_Name="Groceries")*Fixed_Amt*(Fixed_Start&lt;=Sel_Month))</f>
        <v/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</row>
    <row r="65">
      <c r="A65" s="1" t="n"/>
      <c r="B65" s="47" t="inlineStr">
        <is>
          <t>Misc</t>
        </is>
      </c>
      <c r="C65" s="48">
        <f>SUMPRODUCT((Fixed_Name="Miscellaneous")*Fixed_Amt*(Fixed_Start&lt;=Sel_Month))</f>
        <v/>
      </c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</row>
    <row r="66">
      <c r="A66" s="1" t="n"/>
      <c r="B66" s="47" t="inlineStr">
        <is>
          <t>Subscriptions</t>
        </is>
      </c>
      <c r="C66" s="48">
        <f>INDEX(MonthData!$I$2:$I$13,MATCH(Sel_Label,Month_Labels,0))</f>
        <v/>
      </c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</row>
    <row r="67">
      <c r="A67" s="1" t="n"/>
      <c r="B67" s="47" t="inlineStr">
        <is>
          <t>Extras</t>
        </is>
      </c>
      <c r="C67" s="48">
        <f>INDEX(MonthData!$H$2:$H$13,MATCH(Sel_Label,Month_Labels,0))</f>
        <v/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</row>
  </sheetData>
  <mergeCells count="38">
    <mergeCell ref="B14:G14"/>
    <mergeCell ref="M44:T44"/>
    <mergeCell ref="N14:S14"/>
    <mergeCell ref="H8:J9"/>
    <mergeCell ref="B13:G13"/>
    <mergeCell ref="H7:J7"/>
    <mergeCell ref="S39:T39"/>
    <mergeCell ref="C2:K2"/>
    <mergeCell ref="M35:T35"/>
    <mergeCell ref="M37:R37"/>
    <mergeCell ref="B35:K35"/>
    <mergeCell ref="H13:M13"/>
    <mergeCell ref="E8:G9"/>
    <mergeCell ref="N13:S13"/>
    <mergeCell ref="M41:R41"/>
    <mergeCell ref="B16:K16"/>
    <mergeCell ref="Q8:S9"/>
    <mergeCell ref="E7:G7"/>
    <mergeCell ref="K7:M7"/>
    <mergeCell ref="B8:D9"/>
    <mergeCell ref="S37:T37"/>
    <mergeCell ref="M40:T40"/>
    <mergeCell ref="M16:T16"/>
    <mergeCell ref="H14:M14"/>
    <mergeCell ref="F4:H4"/>
    <mergeCell ref="C3:K3"/>
    <mergeCell ref="D4:E4"/>
    <mergeCell ref="Q7:S7"/>
    <mergeCell ref="N8:P9"/>
    <mergeCell ref="B7:D7"/>
    <mergeCell ref="M42:T42"/>
    <mergeCell ref="B11:K11"/>
    <mergeCell ref="N7:P7"/>
    <mergeCell ref="M38:T38"/>
    <mergeCell ref="M39:R39"/>
    <mergeCell ref="K8:M9"/>
    <mergeCell ref="S41:T41"/>
    <mergeCell ref="B4:C4"/>
  </mergeCells>
  <conditionalFormatting sqref="M38:T38">
    <cfRule type="dataBar" priority="1">
      <dataBar showValue="0">
        <cfvo type="num" val="0"/>
        <cfvo type="num" val="1"/>
        <color rgb="00B084F5"/>
      </dataBar>
    </cfRule>
  </conditionalFormatting>
  <conditionalFormatting sqref="M40:T40">
    <cfRule type="dataBar" priority="2">
      <dataBar showValue="0">
        <cfvo type="num" val="0"/>
        <cfvo type="num" val="1"/>
        <color rgb="0035E6B6"/>
      </dataBar>
    </cfRule>
  </conditionalFormatting>
  <conditionalFormatting sqref="M42:T42">
    <cfRule type="dataBar" priority="3">
      <dataBar showValue="0">
        <cfvo type="num" val="0"/>
        <cfvo type="num" val="1"/>
        <color rgb="005B93FF"/>
      </dataBar>
    </cfRule>
  </conditionalFormatting>
  <dataValidations count="1">
    <dataValidation sqref="D4" showDropDown="0" showInputMessage="1" showErrorMessage="1" allowBlank="1" errorTitle="Please pick from the list" error="Use the dropdown arrow to choose one of the listed options." promptTitle="Pick from the list" prompt="Pick the month you want to see" type="list">
      <formula1>Month_Labels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35E6B6"/>
    <outlinePr summaryBelow="1" summaryRight="1"/>
    <pageSetUpPr fitToPage="1"/>
  </sheetPr>
  <dimension ref="A1:N78"/>
  <sheetViews>
    <sheetView showGridLines="0" zoomScale="110" workbookViewId="0">
      <selection activeCell="A1" sqref="A1"/>
    </sheetView>
  </sheetViews>
  <sheetFormatPr baseColWidth="8" defaultRowHeight="15"/>
  <cols>
    <col width="2.6" customWidth="1" min="1" max="1"/>
    <col width="20" customWidth="1" min="2" max="2"/>
    <col width="15" customWidth="1" min="3" max="3"/>
    <col width="15" customWidth="1" min="4" max="4"/>
    <col width="16" customWidth="1" min="5" max="5"/>
    <col width="20" customWidth="1" min="6" max="6"/>
    <col width="3" customWidth="1" min="7" max="7"/>
    <col width="17" customWidth="1" min="8" max="8"/>
    <col width="13" customWidth="1" min="9" max="9"/>
    <col width="13" customWidth="1" min="10" max="10"/>
    <col width="13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2" t="inlineStr"/>
      <c r="C2" s="3" t="inlineStr">
        <is>
          <t>INCOME</t>
        </is>
      </c>
      <c r="L2" s="1" t="n"/>
      <c r="M2" s="1" t="n"/>
      <c r="N2" s="1" t="n"/>
    </row>
    <row r="3">
      <c r="A3" s="1" t="n"/>
      <c r="B3" s="1" t="n"/>
      <c r="C3" s="4" t="inlineStr">
        <is>
          <t>Your job, your real paycheques, and government money — all in one place.</t>
        </is>
      </c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1" t="inlineStr">
        <is>
          <t>PAYCHEQUE ESTIMATOR</t>
        </is>
      </c>
      <c r="G5" s="1" t="n"/>
      <c r="H5" s="1" t="n"/>
      <c r="I5" s="1" t="n"/>
      <c r="J5" s="1" t="n"/>
      <c r="K5" s="1" t="n"/>
      <c r="L5" s="1" t="n"/>
      <c r="M5" s="1" t="n"/>
      <c r="N5" s="1" t="n"/>
    </row>
    <row r="6" ht="28" customHeight="1">
      <c r="A6" s="1" t="n"/>
      <c r="B6" s="45" t="inlineStr">
        <is>
          <t>ⓘ  Type into the gold cells only. It estimates your 2-week take-home. The real Paycheque Log below is what the dashboard actually trusts.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49" t="inlineStr">
        <is>
          <t>Pay rate (per hour)</t>
        </is>
      </c>
      <c r="D8" s="50" t="n">
        <v>21.3</v>
      </c>
      <c r="E8" s="1" t="n"/>
      <c r="F8" s="1" t="n"/>
      <c r="G8" s="1" t="n"/>
      <c r="H8" s="51" t="inlineStr">
        <is>
          <t>SANITY CHECK — MONTHLY TAKE-HOME</t>
        </is>
      </c>
      <c r="L8" s="1" t="n"/>
      <c r="M8" s="1" t="n"/>
      <c r="N8" s="1" t="n"/>
    </row>
    <row r="9">
      <c r="A9" s="1" t="n"/>
      <c r="B9" s="49" t="inlineStr">
        <is>
          <t>Hours worked (2-week period)</t>
        </is>
      </c>
      <c r="D9" s="52" t="n">
        <v>83</v>
      </c>
      <c r="E9" s="1" t="n"/>
      <c r="F9" s="1" t="n"/>
      <c r="G9" s="1" t="n"/>
      <c r="H9" s="53" t="inlineStr">
        <is>
          <t>Weekly hours</t>
        </is>
      </c>
      <c r="J9" s="54" t="inlineStr">
        <is>
          <t>≈ Monthly</t>
        </is>
      </c>
      <c r="L9" s="1" t="n"/>
      <c r="M9" s="1" t="n"/>
      <c r="N9" s="1" t="n"/>
    </row>
    <row r="10">
      <c r="A10" s="1" t="n"/>
      <c r="B10" s="49" t="inlineStr">
        <is>
          <t>Overtime hours (after 44/wk — rare)</t>
        </is>
      </c>
      <c r="D10" s="52" t="n">
        <v>0</v>
      </c>
      <c r="E10" s="1" t="n"/>
      <c r="F10" s="1" t="n"/>
      <c r="G10" s="1" t="n"/>
      <c r="H10" s="55" t="inlineStr">
        <is>
          <t>20 hrs</t>
        </is>
      </c>
      <c r="J10" s="56" t="inlineStr">
        <is>
          <t>$1,610</t>
        </is>
      </c>
      <c r="L10" s="1" t="n"/>
      <c r="M10" s="1" t="n"/>
      <c r="N10" s="1" t="n"/>
    </row>
    <row r="11">
      <c r="A11" s="1" t="n"/>
      <c r="B11" s="49" t="inlineStr">
        <is>
          <t>Overtime rate (per hour)</t>
        </is>
      </c>
      <c r="D11" s="50" t="n">
        <v>31.95</v>
      </c>
      <c r="E11" s="1" t="n"/>
      <c r="F11" s="1" t="n"/>
      <c r="G11" s="1" t="n"/>
      <c r="H11" s="55" t="inlineStr">
        <is>
          <t>24 hrs</t>
        </is>
      </c>
      <c r="J11" s="56" t="inlineStr">
        <is>
          <t>$1,880</t>
        </is>
      </c>
      <c r="L11" s="1" t="n"/>
      <c r="M11" s="1" t="n"/>
      <c r="N11" s="1" t="n"/>
    </row>
    <row r="12">
      <c r="A12" s="1" t="n"/>
      <c r="B12" s="49" t="inlineStr">
        <is>
          <t>Income tax % (match your stub)</t>
        </is>
      </c>
      <c r="D12" s="57" t="n">
        <v>0.05</v>
      </c>
      <c r="E12" s="1" t="n"/>
      <c r="F12" s="1" t="n"/>
      <c r="G12" s="1" t="n"/>
      <c r="H12" s="55" t="inlineStr">
        <is>
          <t>30 hrs</t>
        </is>
      </c>
      <c r="J12" s="56" t="inlineStr">
        <is>
          <t>$2,265</t>
        </is>
      </c>
      <c r="L12" s="1" t="n"/>
      <c r="M12" s="1" t="n"/>
      <c r="N12" s="1" t="n"/>
    </row>
    <row r="13">
      <c r="A13" s="1" t="n"/>
      <c r="B13" s="49" t="inlineStr">
        <is>
          <t>Base pay</t>
        </is>
      </c>
      <c r="D13" s="58">
        <f>Pay_Rate*Est_Hours</f>
        <v/>
      </c>
      <c r="E13" s="1" t="n"/>
      <c r="F13" s="1" t="n"/>
      <c r="G13" s="1" t="n"/>
      <c r="H13" s="55" t="inlineStr">
        <is>
          <t>35 hrs</t>
        </is>
      </c>
      <c r="J13" s="56" t="inlineStr">
        <is>
          <t>$2,590</t>
        </is>
      </c>
      <c r="L13" s="1" t="n"/>
      <c r="M13" s="1" t="n"/>
      <c r="N13" s="1" t="n"/>
    </row>
    <row r="14">
      <c r="A14" s="1" t="n"/>
      <c r="B14" s="49" t="inlineStr">
        <is>
          <t>Vacation pay (4%)</t>
        </is>
      </c>
      <c r="D14" s="59">
        <f>(Pay_Rate*Est_Hours)*0.04</f>
        <v/>
      </c>
      <c r="E14" s="1" t="n"/>
      <c r="F14" s="1" t="n"/>
      <c r="G14" s="1" t="n"/>
      <c r="H14" s="55" t="inlineStr">
        <is>
          <t>40 hrs</t>
        </is>
      </c>
      <c r="J14" s="56" t="inlineStr">
        <is>
          <t>$2,915</t>
        </is>
      </c>
      <c r="L14" s="1" t="n"/>
      <c r="M14" s="1" t="n"/>
      <c r="N14" s="1" t="n"/>
    </row>
    <row r="15">
      <c r="A15" s="1" t="n"/>
      <c r="B15" s="49" t="inlineStr">
        <is>
          <t>Overtime pay</t>
        </is>
      </c>
      <c r="D15" s="58">
        <f>Est_OT*OT_Rate</f>
        <v/>
      </c>
      <c r="E15" s="1" t="n"/>
      <c r="F15" s="1" t="n"/>
      <c r="G15" s="1" t="n"/>
      <c r="H15" s="8" t="n"/>
      <c r="I15" s="8" t="n"/>
      <c r="J15" s="8" t="n"/>
      <c r="K15" s="8" t="n"/>
      <c r="L15" s="1" t="n"/>
      <c r="M15" s="1" t="n"/>
      <c r="N15" s="1" t="n"/>
    </row>
    <row r="16">
      <c r="A16" s="1" t="n"/>
      <c r="B16" s="49" t="inlineStr">
        <is>
          <t>Gross pay</t>
        </is>
      </c>
      <c r="D16" s="58">
        <f>D13+D14+D15</f>
        <v/>
      </c>
      <c r="E16" s="1" t="n"/>
      <c r="F16" s="1" t="n"/>
      <c r="G16" s="1" t="n"/>
      <c r="H16" s="8" t="n"/>
      <c r="I16" s="8" t="n"/>
      <c r="J16" s="8" t="n"/>
      <c r="K16" s="8" t="n"/>
      <c r="L16" s="1" t="n"/>
      <c r="M16" s="1" t="n"/>
      <c r="N16" s="1" t="n"/>
    </row>
    <row r="17">
      <c r="A17" s="1" t="n"/>
      <c r="B17" s="49" t="inlineStr">
        <is>
          <t>Less: CPP (5.95% over $134.62)</t>
        </is>
      </c>
      <c r="D17" s="60">
        <f>-MAX(0,(D16-134.62)*0.0595)</f>
        <v/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49" t="inlineStr">
        <is>
          <t>Less: EI (1.63%)</t>
        </is>
      </c>
      <c r="D18" s="60">
        <f>-D16*0.0163</f>
        <v/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49" t="inlineStr">
        <is>
          <t>Less: Union dues (1.57%)</t>
        </is>
      </c>
      <c r="D19" s="60">
        <f>-D16*0.0157</f>
        <v/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49" t="inlineStr">
        <is>
          <t>Less: Income tax</t>
        </is>
      </c>
      <c r="D20" s="60">
        <f>-D16*Tax_Pct</f>
        <v/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61" t="inlineStr">
        <is>
          <t>ESTIMATED TAKE-HOME (2 weeks)</t>
        </is>
      </c>
      <c r="D21" s="62">
        <f>D16+D17+D18+D19+D20</f>
        <v/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1" t="inlineStr">
        <is>
          <t>PAYCHEQUE LOG — TYPE EACH REAL PAYCHEQUE HERE</t>
        </is>
      </c>
      <c r="H24" s="1" t="n"/>
      <c r="I24" s="1" t="n"/>
      <c r="J24" s="1" t="n"/>
      <c r="K24" s="1" t="n"/>
      <c r="L24" s="1" t="n"/>
      <c r="M24" s="1" t="n"/>
      <c r="N24" s="1" t="n"/>
    </row>
    <row r="25" ht="28" customHeight="1">
      <c r="A25" s="1" t="n"/>
      <c r="B25" s="45" t="inlineStr">
        <is>
          <t>ⓘ  This is the most important table. Each payday, type the DATE and the NET amount from your real pay stub. The dashboard adds these up automatically.</t>
        </is>
      </c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63" t="inlineStr">
        <is>
          <t>Date paid</t>
        </is>
      </c>
      <c r="C26" s="64" t="inlineStr">
        <is>
          <t>Hours</t>
        </is>
      </c>
      <c r="D26" s="64" t="inlineStr">
        <is>
          <t>Net amount (CAD)</t>
        </is>
      </c>
      <c r="E26" s="65" t="inlineStr">
        <is>
          <t>Notes</t>
        </is>
      </c>
      <c r="F26" s="66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67" t="n">
        <v>46176</v>
      </c>
      <c r="C27" s="52" t="n">
        <v>24</v>
      </c>
      <c r="D27" s="50" t="n">
        <v>423.7</v>
      </c>
      <c r="E27" s="68" t="inlineStr">
        <is>
          <t>First short cheque</t>
        </is>
      </c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67" t="n">
        <v>46190</v>
      </c>
      <c r="C28" s="52" t="n">
        <v>83</v>
      </c>
      <c r="D28" s="50" t="n">
        <v>1521</v>
      </c>
      <c r="E28" s="68" t="inlineStr">
        <is>
          <t>83 hrs this period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67" t="n"/>
      <c r="C29" s="52" t="n"/>
      <c r="D29" s="50" t="n"/>
      <c r="E29" s="68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67" t="n"/>
      <c r="C30" s="52" t="n"/>
      <c r="D30" s="50" t="n"/>
      <c r="E30" s="68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67" t="n"/>
      <c r="C31" s="52" t="n"/>
      <c r="D31" s="50" t="n"/>
      <c r="E31" s="68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67" t="n"/>
      <c r="C32" s="52" t="n"/>
      <c r="D32" s="50" t="n"/>
      <c r="E32" s="68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67" t="n"/>
      <c r="C33" s="52" t="n"/>
      <c r="D33" s="50" t="n"/>
      <c r="E33" s="68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67" t="n"/>
      <c r="C34" s="52" t="n"/>
      <c r="D34" s="50" t="n"/>
      <c r="E34" s="68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67" t="n"/>
      <c r="C35" s="52" t="n"/>
      <c r="D35" s="50" t="n"/>
      <c r="E35" s="68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67" t="n"/>
      <c r="C36" s="52" t="n"/>
      <c r="D36" s="50" t="n"/>
      <c r="E36" s="68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67" t="n"/>
      <c r="C37" s="52" t="n"/>
      <c r="D37" s="50" t="n"/>
      <c r="E37" s="68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67" t="n"/>
      <c r="C38" s="52" t="n"/>
      <c r="D38" s="50" t="n"/>
      <c r="E38" s="68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67" t="n"/>
      <c r="C39" s="52" t="n"/>
      <c r="D39" s="50" t="n"/>
      <c r="E39" s="68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67" t="n"/>
      <c r="C40" s="52" t="n"/>
      <c r="D40" s="50" t="n"/>
      <c r="E40" s="68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67" t="n"/>
      <c r="C41" s="52" t="n"/>
      <c r="D41" s="50" t="n"/>
      <c r="E41" s="68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67" t="n"/>
      <c r="C42" s="52" t="n"/>
      <c r="D42" s="50" t="n"/>
      <c r="E42" s="68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67" t="n"/>
      <c r="C43" s="52" t="n"/>
      <c r="D43" s="50" t="n"/>
      <c r="E43" s="68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67" t="n"/>
      <c r="C44" s="52" t="n"/>
      <c r="D44" s="50" t="n"/>
      <c r="E44" s="68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67" t="n"/>
      <c r="C45" s="52" t="n"/>
      <c r="D45" s="50" t="n"/>
      <c r="E45" s="68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67" t="n"/>
      <c r="C46" s="52" t="n"/>
      <c r="D46" s="50" t="n"/>
      <c r="E46" s="68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67" t="n"/>
      <c r="C47" s="52" t="n"/>
      <c r="D47" s="50" t="n"/>
      <c r="E47" s="68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67" t="n"/>
      <c r="C48" s="52" t="n"/>
      <c r="D48" s="50" t="n"/>
      <c r="E48" s="68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67" t="n"/>
      <c r="C49" s="52" t="n"/>
      <c r="D49" s="50" t="n"/>
      <c r="E49" s="68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67" t="n"/>
      <c r="C50" s="52" t="n"/>
      <c r="D50" s="50" t="n"/>
      <c r="E50" s="68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61" t="inlineStr">
        <is>
          <t>TOTAL LOGGED (all time)</t>
        </is>
      </c>
      <c r="D51" s="69">
        <f>SUM(D27:D50)</f>
        <v/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1" t="inlineStr">
        <is>
          <t>GOVERNMENT MONEY (EXTRA INCOME, ADDED AUTOMATICALLY)</t>
        </is>
      </c>
      <c r="I54" s="1" t="n"/>
      <c r="J54" s="1" t="n"/>
      <c r="K54" s="1" t="n"/>
      <c r="L54" s="1" t="n"/>
      <c r="M54" s="1" t="n"/>
      <c r="N54" s="1" t="n"/>
    </row>
    <row r="55" ht="28" customHeight="1">
      <c r="A55" s="1" t="n"/>
      <c r="B55" s="45" t="inlineStr">
        <is>
          <t>ⓘ  These top up your monthly income on the dashboard. 'Interval' is the math switch: 0 = one-time, 1 = every month, 3 = every quarter. Leave it as set.</t>
        </is>
      </c>
      <c r="I55" s="1" t="n"/>
      <c r="J55" s="1" t="n"/>
      <c r="K55" s="1" t="n"/>
      <c r="L55" s="1" t="n"/>
      <c r="M55" s="1" t="n"/>
      <c r="N55" s="1" t="n"/>
    </row>
    <row r="56">
      <c r="A56" s="1" t="n"/>
      <c r="B56" s="63" t="inlineStr">
        <is>
          <t>Payment</t>
        </is>
      </c>
      <c r="C56" s="64" t="inlineStr">
        <is>
          <t>Amount</t>
        </is>
      </c>
      <c r="D56" s="64" t="inlineStr">
        <is>
          <t>Starts</t>
        </is>
      </c>
      <c r="E56" s="64" t="inlineStr">
        <is>
          <t>How often</t>
        </is>
      </c>
      <c r="F56" s="64" t="inlineStr">
        <is>
          <t>Interval</t>
        </is>
      </c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68" t="inlineStr">
        <is>
          <t>Tax refund (one-time)</t>
        </is>
      </c>
      <c r="C57" s="50" t="n">
        <v>1211.65</v>
      </c>
      <c r="D57" s="70" t="n">
        <v>46174</v>
      </c>
      <c r="E57" s="9" t="inlineStr">
        <is>
          <t>One-time</t>
        </is>
      </c>
      <c r="F57" s="71" t="n">
        <v>0</v>
      </c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68" t="inlineStr">
        <is>
          <t>CGEB top-up (one-time)</t>
        </is>
      </c>
      <c r="C58" s="50" t="n">
        <v>174.5</v>
      </c>
      <c r="D58" s="70" t="n">
        <v>46174</v>
      </c>
      <c r="E58" s="9" t="inlineStr">
        <is>
          <t>One-time</t>
        </is>
      </c>
      <c r="F58" s="71" t="n">
        <v>0</v>
      </c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68" t="inlineStr">
        <is>
          <t>CGEB (quarterly)</t>
        </is>
      </c>
      <c r="C59" s="50" t="n">
        <v>169.75</v>
      </c>
      <c r="D59" s="70" t="n">
        <v>46204</v>
      </c>
      <c r="E59" s="9" t="inlineStr">
        <is>
          <t>Every quarter</t>
        </is>
      </c>
      <c r="F59" s="71" t="n">
        <v>3</v>
      </c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68" t="inlineStr">
        <is>
          <t>OTB (monthly)</t>
        </is>
      </c>
      <c r="C60" s="50" t="n">
        <v>71.95</v>
      </c>
      <c r="D60" s="70" t="n">
        <v>46204</v>
      </c>
      <c r="E60" s="9" t="inlineStr">
        <is>
          <t>Every month</t>
        </is>
      </c>
      <c r="F60" s="71" t="n">
        <v>1</v>
      </c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68" t="n"/>
      <c r="C61" s="50" t="n"/>
      <c r="D61" s="70" t="n"/>
      <c r="E61" s="9" t="n"/>
      <c r="F61" s="7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68" t="n"/>
      <c r="C62" s="50" t="n"/>
      <c r="D62" s="70" t="n"/>
      <c r="E62" s="9" t="n"/>
      <c r="F62" s="7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68" t="n"/>
      <c r="C63" s="50" t="n"/>
      <c r="D63" s="70" t="n"/>
      <c r="E63" s="9" t="n"/>
      <c r="F63" s="7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</sheetData>
  <mergeCells count="61">
    <mergeCell ref="E43:F43"/>
    <mergeCell ref="E50:F50"/>
    <mergeCell ref="B16:C16"/>
    <mergeCell ref="H10:I10"/>
    <mergeCell ref="J14:K14"/>
    <mergeCell ref="E33:F33"/>
    <mergeCell ref="J10:K10"/>
    <mergeCell ref="B55:H55"/>
    <mergeCell ref="E42:F42"/>
    <mergeCell ref="B18:C18"/>
    <mergeCell ref="J13:K13"/>
    <mergeCell ref="E48:F48"/>
    <mergeCell ref="E39:F39"/>
    <mergeCell ref="H9:I9"/>
    <mergeCell ref="E44:F44"/>
    <mergeCell ref="B12:C12"/>
    <mergeCell ref="J9:K9"/>
    <mergeCell ref="C2:K2"/>
    <mergeCell ref="E35:F35"/>
    <mergeCell ref="B21:C21"/>
    <mergeCell ref="E38:F38"/>
    <mergeCell ref="B11:C11"/>
    <mergeCell ref="H8:K8"/>
    <mergeCell ref="E29:F29"/>
    <mergeCell ref="E28:F28"/>
    <mergeCell ref="B14:C14"/>
    <mergeCell ref="B54:H54"/>
    <mergeCell ref="B17:C17"/>
    <mergeCell ref="E40:F40"/>
    <mergeCell ref="B8:C8"/>
    <mergeCell ref="E31:F31"/>
    <mergeCell ref="B13:C13"/>
    <mergeCell ref="B24:G24"/>
    <mergeCell ref="H11:I11"/>
    <mergeCell ref="E34:F34"/>
    <mergeCell ref="J11:K11"/>
    <mergeCell ref="E30:F30"/>
    <mergeCell ref="E46:F46"/>
    <mergeCell ref="B19:C19"/>
    <mergeCell ref="B10:C10"/>
    <mergeCell ref="E49:F49"/>
    <mergeCell ref="E27:F27"/>
    <mergeCell ref="E45:F45"/>
    <mergeCell ref="C3:K3"/>
    <mergeCell ref="E36:F36"/>
    <mergeCell ref="B9:C9"/>
    <mergeCell ref="E26:F26"/>
    <mergeCell ref="H13:I13"/>
    <mergeCell ref="B25:G25"/>
    <mergeCell ref="H12:I12"/>
    <mergeCell ref="B6:F6"/>
    <mergeCell ref="B15:C15"/>
    <mergeCell ref="J12:K12"/>
    <mergeCell ref="E32:F32"/>
    <mergeCell ref="B51:C51"/>
    <mergeCell ref="B20:C20"/>
    <mergeCell ref="E41:F41"/>
    <mergeCell ref="B5:F5"/>
    <mergeCell ref="E37:F37"/>
    <mergeCell ref="H14:I14"/>
    <mergeCell ref="E47:F47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FF6792"/>
    <outlinePr summaryBelow="1" summaryRight="1"/>
    <pageSetUpPr fitToPage="1"/>
  </sheetPr>
  <dimension ref="A1:N72"/>
  <sheetViews>
    <sheetView showGridLines="0" zoomScale="110" workbookViewId="0">
      <selection activeCell="A1" sqref="A1"/>
    </sheetView>
  </sheetViews>
  <sheetFormatPr baseColWidth="8" defaultRowHeight="15"/>
  <cols>
    <col width="2.6" customWidth="1" min="1" max="1"/>
    <col width="22" customWidth="1" min="2" max="2"/>
    <col width="15" customWidth="1" min="3" max="3"/>
    <col width="15" customWidth="1" min="4" max="4"/>
    <col width="16" customWidth="1" min="5" max="5"/>
    <col width="22" customWidth="1" min="6" max="6"/>
    <col width="3" customWidth="1" min="7" max="7"/>
    <col width="15" customWidth="1" min="8" max="8"/>
    <col width="15" customWidth="1" min="9" max="9"/>
    <col width="15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72" t="inlineStr"/>
      <c r="C2" s="3" t="inlineStr">
        <is>
          <t>EXPENSES</t>
        </is>
      </c>
      <c r="L2" s="1" t="n"/>
      <c r="M2" s="1" t="n"/>
      <c r="N2" s="1" t="n"/>
    </row>
    <row r="3">
      <c r="A3" s="1" t="n"/>
      <c r="B3" s="1" t="n"/>
      <c r="C3" s="4" t="inlineStr">
        <is>
          <t>Your fixed monthly bills, plus a takeout/spending log so you can watch it add up.</t>
        </is>
      </c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39" t="inlineStr">
        <is>
          <t>FIXED MONTHLY BILLS</t>
        </is>
      </c>
      <c r="G5" s="1" t="n"/>
      <c r="H5" s="1" t="n"/>
      <c r="I5" s="1" t="n"/>
      <c r="J5" s="1" t="n"/>
      <c r="K5" s="1" t="n"/>
      <c r="L5" s="1" t="n"/>
      <c r="M5" s="1" t="n"/>
      <c r="N5" s="1" t="n"/>
    </row>
    <row r="6" ht="28" customHeight="1">
      <c r="A6" s="1" t="n"/>
      <c r="B6" s="45" t="inlineStr">
        <is>
          <t>ⓘ  Type the amount and the month it starts. 'Starts' lets a bill begin later — your India loan starts Jul 2026. Leave older bills at Jan 2020 to mean 'always on'.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63" t="inlineStr">
        <is>
          <t>Bill</t>
        </is>
      </c>
      <c r="C7" s="64" t="inlineStr">
        <is>
          <t>Amount</t>
        </is>
      </c>
      <c r="D7" s="64" t="inlineStr">
        <is>
          <t>Starts</t>
        </is>
      </c>
      <c r="E7" s="65" t="inlineStr">
        <is>
          <t>Notes</t>
        </is>
      </c>
      <c r="F7" s="66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68" t="inlineStr">
        <is>
          <t>Rent</t>
        </is>
      </c>
      <c r="C8" s="50" t="n">
        <v>600</v>
      </c>
      <c r="D8" s="70" t="n">
        <v>43831</v>
      </c>
      <c r="E8" s="68" t="inlineStr">
        <is>
          <t>Paid ~28th–29th of prior month</t>
        </is>
      </c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68" t="inlineStr">
        <is>
          <t>Phone (Rogers)</t>
        </is>
      </c>
      <c r="C9" s="50" t="n">
        <v>103.28</v>
      </c>
      <c r="D9" s="70" t="n">
        <v>43831</v>
      </c>
      <c r="E9" s="68" t="inlineStr">
        <is>
          <t>Around the 8th–9th</t>
        </is>
      </c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68" t="inlineStr">
        <is>
          <t>India loan payment</t>
        </is>
      </c>
      <c r="C10" s="50" t="n">
        <v>334</v>
      </c>
      <c r="D10" s="70" t="n">
        <v>46204</v>
      </c>
      <c r="E10" s="68" t="inlineStr">
        <is>
          <t>Starts Jul 2026 — see Debt sheet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68" t="inlineStr">
        <is>
          <t>Groceries</t>
        </is>
      </c>
      <c r="C11" s="50" t="n">
        <v>100</v>
      </c>
      <c r="D11" s="70" t="n">
        <v>43831</v>
      </c>
      <c r="E11" s="68" t="inlineStr">
        <is>
          <t>Monthly budget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68" t="inlineStr">
        <is>
          <t>Miscellaneous</t>
        </is>
      </c>
      <c r="C12" s="50" t="n">
        <v>50</v>
      </c>
      <c r="D12" s="70" t="n">
        <v>43831</v>
      </c>
      <c r="E12" s="68" t="inlineStr">
        <is>
          <t>Buffer for small stuff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68" t="n"/>
      <c r="C13" s="50" t="n"/>
      <c r="D13" s="70" t="n"/>
      <c r="E13" s="68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68" t="n"/>
      <c r="C14" s="50" t="n"/>
      <c r="D14" s="70" t="n"/>
      <c r="E14" s="68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68" t="n"/>
      <c r="C15" s="50" t="n"/>
      <c r="D15" s="70" t="n"/>
      <c r="E15" s="68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73" t="inlineStr">
        <is>
          <t>TOTAL FIXED / MONTH</t>
        </is>
      </c>
      <c r="C16" s="74">
        <f>SUM(C8:C15)</f>
        <v/>
      </c>
      <c r="D16" s="75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39" t="inlineStr">
        <is>
          <t>SPENDING TO WATCH — TAKEOUT &amp; EXTRAS LOG</t>
        </is>
      </c>
      <c r="H18" s="1" t="n"/>
      <c r="I18" s="1" t="n"/>
      <c r="J18" s="1" t="n"/>
      <c r="K18" s="1" t="n"/>
      <c r="L18" s="1" t="n"/>
      <c r="M18" s="1" t="n"/>
      <c r="N18" s="1" t="n"/>
    </row>
    <row r="19" ht="28" customHeight="1">
      <c r="A19" s="1" t="n"/>
      <c r="B19" s="45" t="inlineStr">
        <is>
          <t>ⓘ  Every time you spend on takeout or extras, add a line. The bar below fills up against your $100 grocery budget so you SEE it adding up.</t>
        </is>
      </c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63" t="inlineStr">
        <is>
          <t>Date</t>
        </is>
      </c>
      <c r="C20" s="64" t="inlineStr">
        <is>
          <t>Category</t>
        </is>
      </c>
      <c r="D20" s="64" t="inlineStr">
        <is>
          <t>Amount</t>
        </is>
      </c>
      <c r="E20" s="65" t="inlineStr">
        <is>
          <t>Note</t>
        </is>
      </c>
      <c r="F20" s="66" t="n"/>
      <c r="G20" s="1" t="n"/>
      <c r="H20" s="76" t="inlineStr">
        <is>
          <t>THIS MONTH vs $100 BUDGET</t>
        </is>
      </c>
      <c r="K20" s="1" t="n"/>
      <c r="L20" s="1" t="n"/>
      <c r="M20" s="1" t="n"/>
      <c r="N20" s="1" t="n"/>
    </row>
    <row r="21">
      <c r="A21" s="1" t="n"/>
      <c r="B21" s="67" t="n">
        <v>46175</v>
      </c>
      <c r="C21" s="68" t="inlineStr">
        <is>
          <t>Takeout/Dining</t>
        </is>
      </c>
      <c r="D21" s="50" t="n">
        <v>68.90000000000001</v>
      </c>
      <c r="E21" s="68" t="inlineStr">
        <is>
          <t>Big takeout day</t>
        </is>
      </c>
      <c r="G21" s="1" t="n"/>
      <c r="H21" s="77">
        <f>SUMIFS(Disc_Amt,Disc_Date,"&gt;="&amp;Sel_Month,Disc_Date,"&lt;"&amp;EDATE(Sel_Month,1))</f>
        <v/>
      </c>
      <c r="K21" s="1" t="n"/>
      <c r="L21" s="1" t="n"/>
      <c r="M21" s="1" t="n"/>
      <c r="N21" s="1" t="n"/>
    </row>
    <row r="22">
      <c r="A22" s="1" t="n"/>
      <c r="B22" s="67" t="n"/>
      <c r="C22" s="68" t="n"/>
      <c r="D22" s="50" t="n"/>
      <c r="E22" s="68" t="n"/>
      <c r="G22" s="1" t="n"/>
      <c r="H22" s="78" t="inlineStr">
        <is>
          <t>spent on extras this month</t>
        </is>
      </c>
      <c r="K22" s="1" t="n"/>
      <c r="L22" s="1" t="n"/>
      <c r="M22" s="1" t="n"/>
      <c r="N22" s="1" t="n"/>
    </row>
    <row r="23">
      <c r="A23" s="1" t="n"/>
      <c r="B23" s="67" t="n"/>
      <c r="C23" s="68" t="n"/>
      <c r="D23" s="50" t="n"/>
      <c r="E23" s="68" t="n"/>
      <c r="G23" s="1" t="n"/>
      <c r="H23" s="8" t="n"/>
      <c r="I23" s="8" t="n"/>
      <c r="J23" s="8" t="n"/>
      <c r="K23" s="1" t="n"/>
      <c r="L23" s="1" t="n"/>
      <c r="M23" s="1" t="n"/>
      <c r="N23" s="1" t="n"/>
    </row>
    <row r="24">
      <c r="A24" s="1" t="n"/>
      <c r="B24" s="67" t="n"/>
      <c r="C24" s="68" t="n"/>
      <c r="D24" s="50" t="n"/>
      <c r="E24" s="68" t="n"/>
      <c r="G24" s="1" t="n"/>
      <c r="H24" s="79" t="inlineStr">
        <is>
          <t>Budget used</t>
        </is>
      </c>
      <c r="K24" s="1" t="n"/>
      <c r="L24" s="1" t="n"/>
      <c r="M24" s="1" t="n"/>
      <c r="N24" s="1" t="n"/>
    </row>
    <row r="25">
      <c r="A25" s="1" t="n"/>
      <c r="B25" s="67" t="n"/>
      <c r="C25" s="68" t="n"/>
      <c r="D25" s="50" t="n"/>
      <c r="E25" s="68" t="n"/>
      <c r="G25" s="1" t="n"/>
      <c r="H25" s="80">
        <f>MIN(1,H21/100)</f>
        <v/>
      </c>
      <c r="I25" s="81" t="n"/>
      <c r="J25" s="82" t="n"/>
      <c r="K25" s="1" t="n"/>
      <c r="L25" s="1" t="n"/>
      <c r="M25" s="1" t="n"/>
      <c r="N25" s="1" t="n"/>
    </row>
    <row r="26">
      <c r="A26" s="1" t="n"/>
      <c r="B26" s="67" t="n"/>
      <c r="C26" s="68" t="n"/>
      <c r="D26" s="50" t="n"/>
      <c r="E26" s="68" t="n"/>
      <c r="G26" s="1" t="n"/>
      <c r="H26" s="83" t="inlineStr">
        <is>
          <t>(over 100% = past your grocery budget)</t>
        </is>
      </c>
      <c r="K26" s="1" t="n"/>
      <c r="L26" s="1" t="n"/>
      <c r="M26" s="1" t="n"/>
      <c r="N26" s="1" t="n"/>
    </row>
    <row r="27">
      <c r="A27" s="1" t="n"/>
      <c r="B27" s="67" t="n"/>
      <c r="C27" s="68" t="n"/>
      <c r="D27" s="50" t="n"/>
      <c r="E27" s="68" t="n"/>
      <c r="G27" s="1" t="n"/>
      <c r="H27" s="8" t="n"/>
      <c r="I27" s="8" t="n"/>
      <c r="J27" s="8" t="n"/>
      <c r="K27" s="1" t="n"/>
      <c r="L27" s="1" t="n"/>
      <c r="M27" s="1" t="n"/>
      <c r="N27" s="1" t="n"/>
    </row>
    <row r="28">
      <c r="A28" s="1" t="n"/>
      <c r="B28" s="67" t="n"/>
      <c r="C28" s="68" t="n"/>
      <c r="D28" s="50" t="n"/>
      <c r="E28" s="68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67" t="n"/>
      <c r="C29" s="68" t="n"/>
      <c r="D29" s="50" t="n"/>
      <c r="E29" s="68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67" t="n"/>
      <c r="C30" s="68" t="n"/>
      <c r="D30" s="50" t="n"/>
      <c r="E30" s="68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67" t="n"/>
      <c r="C31" s="68" t="n"/>
      <c r="D31" s="50" t="n"/>
      <c r="E31" s="68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67" t="n"/>
      <c r="C32" s="68" t="n"/>
      <c r="D32" s="50" t="n"/>
      <c r="E32" s="68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67" t="n"/>
      <c r="C33" s="68" t="n"/>
      <c r="D33" s="50" t="n"/>
      <c r="E33" s="68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67" t="n"/>
      <c r="C34" s="68" t="n"/>
      <c r="D34" s="50" t="n"/>
      <c r="E34" s="68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67" t="n"/>
      <c r="C35" s="68" t="n"/>
      <c r="D35" s="50" t="n"/>
      <c r="E35" s="68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67" t="n"/>
      <c r="C36" s="68" t="n"/>
      <c r="D36" s="50" t="n"/>
      <c r="E36" s="68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67" t="n"/>
      <c r="C37" s="68" t="n"/>
      <c r="D37" s="50" t="n"/>
      <c r="E37" s="68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67" t="n"/>
      <c r="C38" s="68" t="n"/>
      <c r="D38" s="50" t="n"/>
      <c r="E38" s="68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67" t="n"/>
      <c r="C39" s="68" t="n"/>
      <c r="D39" s="50" t="n"/>
      <c r="E39" s="68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67" t="n"/>
      <c r="C40" s="68" t="n"/>
      <c r="D40" s="50" t="n"/>
      <c r="E40" s="68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67" t="n"/>
      <c r="C41" s="68" t="n"/>
      <c r="D41" s="50" t="n"/>
      <c r="E41" s="68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67" t="n"/>
      <c r="C42" s="68" t="n"/>
      <c r="D42" s="50" t="n"/>
      <c r="E42" s="68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67" t="n"/>
      <c r="C43" s="68" t="n"/>
      <c r="D43" s="50" t="n"/>
      <c r="E43" s="68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67" t="n"/>
      <c r="C44" s="68" t="n"/>
      <c r="D44" s="50" t="n"/>
      <c r="E44" s="68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73" t="inlineStr">
        <is>
          <t>TOTAL LOGGED (all time)</t>
        </is>
      </c>
      <c r="D45" s="74">
        <f>SUM(D21:D44)</f>
        <v/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</sheetData>
  <mergeCells count="48">
    <mergeCell ref="E43:F43"/>
    <mergeCell ref="E12:F12"/>
    <mergeCell ref="E24:F24"/>
    <mergeCell ref="E33:F33"/>
    <mergeCell ref="E42:F42"/>
    <mergeCell ref="E23:F23"/>
    <mergeCell ref="E14:F14"/>
    <mergeCell ref="E39:F39"/>
    <mergeCell ref="E8:F8"/>
    <mergeCell ref="E44:F44"/>
    <mergeCell ref="C2:K2"/>
    <mergeCell ref="B19:G19"/>
    <mergeCell ref="E35:F35"/>
    <mergeCell ref="E20:F20"/>
    <mergeCell ref="E38:F38"/>
    <mergeCell ref="E29:F29"/>
    <mergeCell ref="E10:F10"/>
    <mergeCell ref="H22:J22"/>
    <mergeCell ref="E28:F28"/>
    <mergeCell ref="B16"/>
    <mergeCell ref="E13:F13"/>
    <mergeCell ref="E40:F40"/>
    <mergeCell ref="E9:F9"/>
    <mergeCell ref="E31:F31"/>
    <mergeCell ref="E34:F34"/>
    <mergeCell ref="H24:J24"/>
    <mergeCell ref="E30:F30"/>
    <mergeCell ref="E15:F15"/>
    <mergeCell ref="E11:F11"/>
    <mergeCell ref="E27:F27"/>
    <mergeCell ref="C3:K3"/>
    <mergeCell ref="E36:F36"/>
    <mergeCell ref="H26:J26"/>
    <mergeCell ref="E26:F26"/>
    <mergeCell ref="H20:J20"/>
    <mergeCell ref="B6:F6"/>
    <mergeCell ref="E32:F32"/>
    <mergeCell ref="E7:F7"/>
    <mergeCell ref="E25:F25"/>
    <mergeCell ref="E41:F41"/>
    <mergeCell ref="B5:F5"/>
    <mergeCell ref="B45:C45"/>
    <mergeCell ref="E37:F37"/>
    <mergeCell ref="E22:F22"/>
    <mergeCell ref="B18:G18"/>
    <mergeCell ref="H25:J25"/>
    <mergeCell ref="H21:J21"/>
    <mergeCell ref="E21:F21"/>
  </mergeCells>
  <conditionalFormatting sqref="H25:J25">
    <cfRule type="dataBar" priority="1">
      <dataBar showValue="1">
        <cfvo type="num" val="0"/>
        <cfvo type="num" val="1"/>
        <color rgb="00E8497C"/>
      </dataBar>
    </cfRule>
  </conditionalFormatting>
  <dataValidations count="1">
    <dataValidation sqref="C21:C44" showDropDown="0" showInputMessage="1" showErrorMessage="1" allowBlank="1" errorTitle="Please pick from the list" error="Use the dropdown arrow to choose one of the listed options." promptTitle="Pick from the list" prompt="Pick a spending category" type="list">
      <formula1>'Lists'!$C$1:$C$6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FFCF5C"/>
    <outlinePr summaryBelow="1" summaryRight="1"/>
    <pageSetUpPr fitToPage="1"/>
  </sheetPr>
  <dimension ref="A1:V70"/>
  <sheetViews>
    <sheetView showGridLines="0" zoomScale="100" workbookViewId="0">
      <selection activeCell="A1" sqref="A1"/>
    </sheetView>
  </sheetViews>
  <sheetFormatPr baseColWidth="8" defaultRowHeight="15"/>
  <cols>
    <col width="2.6" customWidth="1" min="1" max="1"/>
    <col width="22" customWidth="1" min="2" max="2"/>
    <col width="13" customWidth="1" min="3" max="3"/>
    <col width="9" customWidth="1" min="4" max="4"/>
    <col width="11" customWidth="1" min="5" max="5"/>
    <col width="12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13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84" t="inlineStr"/>
      <c r="C2" s="3" t="inlineStr">
        <is>
          <t>BILLS &amp; SUBSCRIPTIONS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1" t="n"/>
      <c r="B3" s="1" t="n"/>
      <c r="C3" s="4" t="inlineStr">
        <is>
          <t>Tick each one off when it's paid. All amounts in Canadian dollars ($).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1" t="n"/>
      <c r="B5" s="18" t="inlineStr">
        <is>
          <t>RECURRING BILLS &amp; SUBSCRIPTIONS</t>
        </is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 ht="30" customHeight="1">
      <c r="A6" s="1" t="n"/>
      <c r="B6" s="45" t="inlineStr">
        <is>
          <t>ⓘ  Tick the gold box under a month once you've paid it. 'In budget?' = Yes feeds the dashboard; set it to No for bills already counted on the Expenses sheet (like rent &amp; phone) so nothing is double-counted.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1" t="n"/>
      <c r="B7" s="85" t="inlineStr">
        <is>
          <t>Bill / Subscription</t>
        </is>
      </c>
      <c r="C7" s="86" t="inlineStr">
        <is>
          <t>Amount</t>
        </is>
      </c>
      <c r="D7" s="86" t="inlineStr">
        <is>
          <t>Due day</t>
        </is>
      </c>
      <c r="E7" s="86" t="inlineStr">
        <is>
          <t>In budget?</t>
        </is>
      </c>
      <c r="F7" s="86" t="inlineStr">
        <is>
          <t>Starts</t>
        </is>
      </c>
      <c r="G7" s="86" t="inlineStr">
        <is>
          <t>Jun'26</t>
        </is>
      </c>
      <c r="H7" s="86" t="inlineStr">
        <is>
          <t>Jul'26</t>
        </is>
      </c>
      <c r="I7" s="86" t="inlineStr">
        <is>
          <t>Aug'26</t>
        </is>
      </c>
      <c r="J7" s="86" t="inlineStr">
        <is>
          <t>Sep'26</t>
        </is>
      </c>
      <c r="K7" s="86" t="inlineStr">
        <is>
          <t>Oct'26</t>
        </is>
      </c>
      <c r="L7" s="86" t="inlineStr">
        <is>
          <t>Nov'26</t>
        </is>
      </c>
      <c r="M7" s="86" t="inlineStr">
        <is>
          <t>Dec'26</t>
        </is>
      </c>
      <c r="N7" s="86" t="inlineStr">
        <is>
          <t>Jan'27</t>
        </is>
      </c>
      <c r="O7" s="86" t="inlineStr">
        <is>
          <t>Feb'27</t>
        </is>
      </c>
      <c r="P7" s="86" t="inlineStr">
        <is>
          <t>Mar'27</t>
        </is>
      </c>
      <c r="Q7" s="86" t="inlineStr">
        <is>
          <t>Apr'27</t>
        </is>
      </c>
      <c r="R7" s="86" t="inlineStr">
        <is>
          <t>May'27</t>
        </is>
      </c>
      <c r="S7" s="86" t="inlineStr">
        <is>
          <t>Annual</t>
        </is>
      </c>
      <c r="T7" s="1" t="n"/>
      <c r="U7" s="1" t="n"/>
      <c r="V7" s="1" t="n"/>
    </row>
    <row r="8">
      <c r="A8" s="1" t="n"/>
      <c r="B8" s="68" t="inlineStr">
        <is>
          <t>Phone (Rogers)</t>
        </is>
      </c>
      <c r="C8" s="50" t="n">
        <v>103.28</v>
      </c>
      <c r="D8" s="71" t="n">
        <v>9</v>
      </c>
      <c r="E8" s="9" t="inlineStr">
        <is>
          <t>No</t>
        </is>
      </c>
      <c r="F8" s="70" t="n">
        <v>46174</v>
      </c>
      <c r="G8" s="87" t="inlineStr"/>
      <c r="H8" s="87" t="inlineStr"/>
      <c r="I8" s="87" t="inlineStr"/>
      <c r="J8" s="87" t="inlineStr"/>
      <c r="K8" s="87" t="inlineStr"/>
      <c r="L8" s="87" t="inlineStr"/>
      <c r="M8" s="87" t="inlineStr"/>
      <c r="N8" s="87" t="inlineStr"/>
      <c r="O8" s="87" t="inlineStr"/>
      <c r="P8" s="87" t="inlineStr"/>
      <c r="Q8" s="87" t="inlineStr"/>
      <c r="R8" s="87" t="inlineStr"/>
      <c r="S8" s="88">
        <f>IF(C8="","",C8*12)</f>
        <v/>
      </c>
      <c r="T8" s="1" t="n"/>
      <c r="U8" s="1" t="n"/>
      <c r="V8" s="1" t="n"/>
    </row>
    <row r="9">
      <c r="A9" s="1" t="n"/>
      <c r="B9" s="68" t="inlineStr">
        <is>
          <t>Claude AI</t>
        </is>
      </c>
      <c r="C9" s="50" t="n">
        <v>31.64</v>
      </c>
      <c r="D9" s="71" t="n">
        <v>5</v>
      </c>
      <c r="E9" s="9" t="inlineStr">
        <is>
          <t>Yes</t>
        </is>
      </c>
      <c r="F9" s="70" t="n">
        <v>46174</v>
      </c>
      <c r="G9" s="87" t="inlineStr"/>
      <c r="H9" s="87" t="inlineStr"/>
      <c r="I9" s="87" t="inlineStr"/>
      <c r="J9" s="87" t="inlineStr"/>
      <c r="K9" s="87" t="inlineStr"/>
      <c r="L9" s="87" t="inlineStr"/>
      <c r="M9" s="87" t="inlineStr"/>
      <c r="N9" s="87" t="inlineStr"/>
      <c r="O9" s="87" t="inlineStr"/>
      <c r="P9" s="87" t="inlineStr"/>
      <c r="Q9" s="87" t="inlineStr"/>
      <c r="R9" s="87" t="inlineStr"/>
      <c r="S9" s="89">
        <f>IF(C9="","",C9*12)</f>
        <v/>
      </c>
      <c r="T9" s="1" t="n"/>
      <c r="U9" s="1" t="n"/>
      <c r="V9" s="1" t="n"/>
    </row>
    <row r="10">
      <c r="A10" s="1" t="n"/>
      <c r="B10" s="68" t="n"/>
      <c r="C10" s="50" t="n"/>
      <c r="D10" s="71" t="n"/>
      <c r="E10" s="9" t="n"/>
      <c r="F10" s="70" t="n"/>
      <c r="G10" s="87" t="inlineStr"/>
      <c r="H10" s="87" t="inlineStr"/>
      <c r="I10" s="87" t="inlineStr"/>
      <c r="J10" s="87" t="inlineStr"/>
      <c r="K10" s="87" t="inlineStr"/>
      <c r="L10" s="87" t="inlineStr"/>
      <c r="M10" s="87" t="inlineStr"/>
      <c r="N10" s="87" t="inlineStr"/>
      <c r="O10" s="87" t="inlineStr"/>
      <c r="P10" s="87" t="inlineStr"/>
      <c r="Q10" s="87" t="inlineStr"/>
      <c r="R10" s="87" t="inlineStr"/>
      <c r="S10" s="88">
        <f>IF(C10="","",C10*12)</f>
        <v/>
      </c>
      <c r="T10" s="1" t="n"/>
      <c r="U10" s="1" t="n"/>
      <c r="V10" s="1" t="n"/>
    </row>
    <row r="11">
      <c r="A11" s="1" t="n"/>
      <c r="B11" s="68" t="n"/>
      <c r="C11" s="50" t="n"/>
      <c r="D11" s="71" t="n"/>
      <c r="E11" s="9" t="n"/>
      <c r="F11" s="70" t="n"/>
      <c r="G11" s="87" t="inlineStr"/>
      <c r="H11" s="87" t="inlineStr"/>
      <c r="I11" s="87" t="inlineStr"/>
      <c r="J11" s="87" t="inlineStr"/>
      <c r="K11" s="87" t="inlineStr"/>
      <c r="L11" s="87" t="inlineStr"/>
      <c r="M11" s="87" t="inlineStr"/>
      <c r="N11" s="87" t="inlineStr"/>
      <c r="O11" s="87" t="inlineStr"/>
      <c r="P11" s="87" t="inlineStr"/>
      <c r="Q11" s="87" t="inlineStr"/>
      <c r="R11" s="87" t="inlineStr"/>
      <c r="S11" s="89">
        <f>IF(C11="","",C11*12)</f>
        <v/>
      </c>
      <c r="T11" s="1" t="n"/>
      <c r="U11" s="1" t="n"/>
      <c r="V11" s="1" t="n"/>
    </row>
    <row r="12">
      <c r="A12" s="1" t="n"/>
      <c r="B12" s="68" t="n"/>
      <c r="C12" s="50" t="n"/>
      <c r="D12" s="71" t="n"/>
      <c r="E12" s="9" t="n"/>
      <c r="F12" s="70" t="n"/>
      <c r="G12" s="87" t="inlineStr"/>
      <c r="H12" s="87" t="inlineStr"/>
      <c r="I12" s="87" t="inlineStr"/>
      <c r="J12" s="87" t="inlineStr"/>
      <c r="K12" s="87" t="inlineStr"/>
      <c r="L12" s="87" t="inlineStr"/>
      <c r="M12" s="87" t="inlineStr"/>
      <c r="N12" s="87" t="inlineStr"/>
      <c r="O12" s="87" t="inlineStr"/>
      <c r="P12" s="87" t="inlineStr"/>
      <c r="Q12" s="87" t="inlineStr"/>
      <c r="R12" s="87" t="inlineStr"/>
      <c r="S12" s="88">
        <f>IF(C12="","",C12*12)</f>
        <v/>
      </c>
      <c r="T12" s="1" t="n"/>
      <c r="U12" s="1" t="n"/>
      <c r="V12" s="1" t="n"/>
    </row>
    <row r="13">
      <c r="A13" s="1" t="n"/>
      <c r="B13" s="68" t="n"/>
      <c r="C13" s="50" t="n"/>
      <c r="D13" s="71" t="n"/>
      <c r="E13" s="9" t="n"/>
      <c r="F13" s="70" t="n"/>
      <c r="G13" s="87" t="inlineStr"/>
      <c r="H13" s="87" t="inlineStr"/>
      <c r="I13" s="87" t="inlineStr"/>
      <c r="J13" s="87" t="inlineStr"/>
      <c r="K13" s="87" t="inlineStr"/>
      <c r="L13" s="87" t="inlineStr"/>
      <c r="M13" s="87" t="inlineStr"/>
      <c r="N13" s="87" t="inlineStr"/>
      <c r="O13" s="87" t="inlineStr"/>
      <c r="P13" s="87" t="inlineStr"/>
      <c r="Q13" s="87" t="inlineStr"/>
      <c r="R13" s="87" t="inlineStr"/>
      <c r="S13" s="89">
        <f>IF(C13="","",C13*12)</f>
        <v/>
      </c>
      <c r="T13" s="1" t="n"/>
      <c r="U13" s="1" t="n"/>
      <c r="V13" s="1" t="n"/>
    </row>
    <row r="14">
      <c r="A14" s="1" t="n"/>
      <c r="B14" s="68" t="n"/>
      <c r="C14" s="50" t="n"/>
      <c r="D14" s="71" t="n"/>
      <c r="E14" s="9" t="n"/>
      <c r="F14" s="70" t="n"/>
      <c r="G14" s="87" t="inlineStr"/>
      <c r="H14" s="87" t="inlineStr"/>
      <c r="I14" s="87" t="inlineStr"/>
      <c r="J14" s="87" t="inlineStr"/>
      <c r="K14" s="87" t="inlineStr"/>
      <c r="L14" s="87" t="inlineStr"/>
      <c r="M14" s="87" t="inlineStr"/>
      <c r="N14" s="87" t="inlineStr"/>
      <c r="O14" s="87" t="inlineStr"/>
      <c r="P14" s="87" t="inlineStr"/>
      <c r="Q14" s="87" t="inlineStr"/>
      <c r="R14" s="87" t="inlineStr"/>
      <c r="S14" s="88">
        <f>IF(C14="","",C14*12)</f>
        <v/>
      </c>
      <c r="T14" s="1" t="n"/>
      <c r="U14" s="1" t="n"/>
      <c r="V14" s="1" t="n"/>
    </row>
    <row r="15">
      <c r="A15" s="1" t="n"/>
      <c r="B15" s="68" t="n"/>
      <c r="C15" s="50" t="n"/>
      <c r="D15" s="71" t="n"/>
      <c r="E15" s="9" t="n"/>
      <c r="F15" s="70" t="n"/>
      <c r="G15" s="87" t="inlineStr"/>
      <c r="H15" s="87" t="inlineStr"/>
      <c r="I15" s="87" t="inlineStr"/>
      <c r="J15" s="87" t="inlineStr"/>
      <c r="K15" s="87" t="inlineStr"/>
      <c r="L15" s="87" t="inlineStr"/>
      <c r="M15" s="87" t="inlineStr"/>
      <c r="N15" s="87" t="inlineStr"/>
      <c r="O15" s="87" t="inlineStr"/>
      <c r="P15" s="87" t="inlineStr"/>
      <c r="Q15" s="87" t="inlineStr"/>
      <c r="R15" s="87" t="inlineStr"/>
      <c r="S15" s="89">
        <f>IF(C15="","",C15*12)</f>
        <v/>
      </c>
      <c r="T15" s="1" t="n"/>
      <c r="U15" s="1" t="n"/>
      <c r="V15" s="1" t="n"/>
    </row>
    <row r="16">
      <c r="A16" s="1" t="n"/>
      <c r="B16" s="68" t="n"/>
      <c r="C16" s="50" t="n"/>
      <c r="D16" s="71" t="n"/>
      <c r="E16" s="9" t="n"/>
      <c r="F16" s="70" t="n"/>
      <c r="G16" s="87" t="inlineStr"/>
      <c r="H16" s="87" t="inlineStr"/>
      <c r="I16" s="87" t="inlineStr"/>
      <c r="J16" s="87" t="inlineStr"/>
      <c r="K16" s="87" t="inlineStr"/>
      <c r="L16" s="87" t="inlineStr"/>
      <c r="M16" s="87" t="inlineStr"/>
      <c r="N16" s="87" t="inlineStr"/>
      <c r="O16" s="87" t="inlineStr"/>
      <c r="P16" s="87" t="inlineStr"/>
      <c r="Q16" s="87" t="inlineStr"/>
      <c r="R16" s="87" t="inlineStr"/>
      <c r="S16" s="88">
        <f>IF(C16="","",C16*12)</f>
        <v/>
      </c>
      <c r="T16" s="1" t="n"/>
      <c r="U16" s="1" t="n"/>
      <c r="V16" s="1" t="n"/>
    </row>
    <row r="17">
      <c r="A17" s="1" t="n"/>
      <c r="B17" s="68" t="n"/>
      <c r="C17" s="50" t="n"/>
      <c r="D17" s="71" t="n"/>
      <c r="E17" s="9" t="n"/>
      <c r="F17" s="70" t="n"/>
      <c r="G17" s="87" t="inlineStr"/>
      <c r="H17" s="87" t="inlineStr"/>
      <c r="I17" s="87" t="inlineStr"/>
      <c r="J17" s="87" t="inlineStr"/>
      <c r="K17" s="87" t="inlineStr"/>
      <c r="L17" s="87" t="inlineStr"/>
      <c r="M17" s="87" t="inlineStr"/>
      <c r="N17" s="87" t="inlineStr"/>
      <c r="O17" s="87" t="inlineStr"/>
      <c r="P17" s="87" t="inlineStr"/>
      <c r="Q17" s="87" t="inlineStr"/>
      <c r="R17" s="87" t="inlineStr"/>
      <c r="S17" s="89">
        <f>IF(C17="","",C17*12)</f>
        <v/>
      </c>
      <c r="T17" s="1" t="n"/>
      <c r="U17" s="1" t="n"/>
      <c r="V17" s="1" t="n"/>
    </row>
    <row r="18">
      <c r="A18" s="1" t="n"/>
      <c r="B18" s="68" t="n"/>
      <c r="C18" s="50" t="n"/>
      <c r="D18" s="71" t="n"/>
      <c r="E18" s="9" t="n"/>
      <c r="F18" s="70" t="n"/>
      <c r="G18" s="87" t="inlineStr"/>
      <c r="H18" s="87" t="inlineStr"/>
      <c r="I18" s="87" t="inlineStr"/>
      <c r="J18" s="87" t="inlineStr"/>
      <c r="K18" s="87" t="inlineStr"/>
      <c r="L18" s="87" t="inlineStr"/>
      <c r="M18" s="87" t="inlineStr"/>
      <c r="N18" s="87" t="inlineStr"/>
      <c r="O18" s="87" t="inlineStr"/>
      <c r="P18" s="87" t="inlineStr"/>
      <c r="Q18" s="87" t="inlineStr"/>
      <c r="R18" s="87" t="inlineStr"/>
      <c r="S18" s="88">
        <f>IF(C18="","",C18*12)</f>
        <v/>
      </c>
      <c r="T18" s="1" t="n"/>
      <c r="U18" s="1" t="n"/>
      <c r="V18" s="1" t="n"/>
    </row>
    <row r="19">
      <c r="A19" s="1" t="n"/>
      <c r="B19" s="68" t="n"/>
      <c r="C19" s="50" t="n"/>
      <c r="D19" s="71" t="n"/>
      <c r="E19" s="9" t="n"/>
      <c r="F19" s="70" t="n"/>
      <c r="G19" s="87" t="inlineStr"/>
      <c r="H19" s="87" t="inlineStr"/>
      <c r="I19" s="87" t="inlineStr"/>
      <c r="J19" s="87" t="inlineStr"/>
      <c r="K19" s="87" t="inlineStr"/>
      <c r="L19" s="87" t="inlineStr"/>
      <c r="M19" s="87" t="inlineStr"/>
      <c r="N19" s="87" t="inlineStr"/>
      <c r="O19" s="87" t="inlineStr"/>
      <c r="P19" s="87" t="inlineStr"/>
      <c r="Q19" s="87" t="inlineStr"/>
      <c r="R19" s="87" t="inlineStr"/>
      <c r="S19" s="89">
        <f>IF(C19="","",C19*12)</f>
        <v/>
      </c>
      <c r="T19" s="1" t="n"/>
      <c r="U19" s="1" t="n"/>
      <c r="V19" s="1" t="n"/>
    </row>
    <row r="20">
      <c r="A20" s="1" t="n"/>
      <c r="B20" s="90" t="inlineStr">
        <is>
          <t>ANNUAL TOTAL (all rows)</t>
        </is>
      </c>
      <c r="E20" s="75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91">
        <f>SUM(S8:S19)</f>
        <v/>
      </c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>
      <c r="A22" s="1" t="n"/>
      <c r="B22" s="18" t="inlineStr">
        <is>
          <t>SHORT-TERM PAYMENT PLANS (FINISH ON A DATE)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</row>
    <row r="23" ht="26" customHeight="1">
      <c r="A23" s="1" t="n"/>
      <c r="B23" s="45" t="inlineStr">
        <is>
          <t>ⓘ  Interest-free plans that end. The perfume plan is pre-loaded. The 'Finish date' updates from the last dated row automatically.</t>
        </is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</row>
    <row r="24">
      <c r="A24" s="1" t="n"/>
      <c r="B24" s="63" t="inlineStr">
        <is>
          <t>Plan / Item</t>
        </is>
      </c>
      <c r="C24" s="64" t="inlineStr">
        <is>
          <t>Date</t>
        </is>
      </c>
      <c r="D24" s="64" t="inlineStr">
        <is>
          <t>Amount</t>
        </is>
      </c>
      <c r="E24" s="64" t="inlineStr">
        <is>
          <t>Paid?</t>
        </is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>
      <c r="A25" s="1" t="n"/>
      <c r="B25" s="68" t="inlineStr">
        <is>
          <t>Perfume payment plan</t>
        </is>
      </c>
      <c r="C25" s="67" t="n">
        <v>46178</v>
      </c>
      <c r="D25" s="50" t="n">
        <v>60.4</v>
      </c>
      <c r="E25" s="87" t="inlineStr">
        <is>
          <t>✓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</row>
    <row r="26">
      <c r="A26" s="1" t="n"/>
      <c r="B26" s="68" t="inlineStr">
        <is>
          <t>Perfume payment plan</t>
        </is>
      </c>
      <c r="C26" s="67" t="n">
        <v>46192</v>
      </c>
      <c r="D26" s="50" t="n">
        <v>60.4</v>
      </c>
      <c r="E26" s="87" t="inlineStr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>
      <c r="A27" s="1" t="n"/>
      <c r="B27" s="68" t="inlineStr">
        <is>
          <t>Perfume payment plan</t>
        </is>
      </c>
      <c r="C27" s="67" t="n">
        <v>46206</v>
      </c>
      <c r="D27" s="50" t="n">
        <v>60.4</v>
      </c>
      <c r="E27" s="87" t="inlineStr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>
      <c r="A28" s="1" t="n"/>
      <c r="B28" s="68" t="inlineStr">
        <is>
          <t>Perfume payment plan</t>
        </is>
      </c>
      <c r="C28" s="67" t="n">
        <v>46220</v>
      </c>
      <c r="D28" s="50" t="n">
        <v>60.38</v>
      </c>
      <c r="E28" s="87" t="inlineStr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>
      <c r="A29" s="1" t="n"/>
      <c r="B29" s="68" t="n"/>
      <c r="C29" s="67" t="n"/>
      <c r="D29" s="50" t="n"/>
      <c r="E29" s="87" t="inlineStr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A30" s="1" t="n"/>
      <c r="B30" s="68" t="n"/>
      <c r="C30" s="67" t="n"/>
      <c r="D30" s="50" t="n"/>
      <c r="E30" s="87" t="inlineStr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</row>
    <row r="31">
      <c r="A31" s="1" t="n"/>
      <c r="B31" s="90" t="inlineStr">
        <is>
          <t>PLAN TOTAL</t>
        </is>
      </c>
      <c r="C31" s="75" t="n"/>
      <c r="D31" s="92">
        <f>SUM(D25:D30)</f>
        <v/>
      </c>
      <c r="E31" s="75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>
      <c r="A32" s="1" t="n"/>
      <c r="B32" s="49" t="inlineStr">
        <is>
          <t>Finishes on</t>
        </is>
      </c>
      <c r="C32" s="1" t="n"/>
      <c r="D32" s="93">
        <f>IF(COUNT(C25:C30)=0,"—",MAX(C25:C30))</f>
        <v/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</row>
    <row r="34">
      <c r="A34" s="1" t="n"/>
      <c r="B34" s="18" t="inlineStr">
        <is>
          <t>MONTHLY BILL CALENDAR</t>
        </is>
      </c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>
      <c r="A35" s="1" t="n"/>
      <c r="B35" s="49" t="inlineStr">
        <is>
          <t>Show month:</t>
        </is>
      </c>
      <c r="C35" s="70" t="n">
        <v>46174</v>
      </c>
      <c r="D35" s="1" t="n"/>
      <c r="E35" s="94">
        <f>TEXT(Cal_Month,"mmmm yyyy")</f>
        <v/>
      </c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24" customHeight="1">
      <c r="A36" s="1" t="n"/>
      <c r="B36" s="45" t="inlineStr">
        <is>
          <t>ⓘ  Days with a bill due are highlighted pink (matched from the 'Due day' column above). Change the month to see another month.</t>
        </is>
      </c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95" t="inlineStr">
        <is>
          <t>Sun</t>
        </is>
      </c>
      <c r="D37" s="95" t="inlineStr">
        <is>
          <t>Mon</t>
        </is>
      </c>
      <c r="E37" s="95" t="inlineStr">
        <is>
          <t>Tue</t>
        </is>
      </c>
      <c r="F37" s="95" t="inlineStr">
        <is>
          <t>Wed</t>
        </is>
      </c>
      <c r="G37" s="95" t="inlineStr">
        <is>
          <t>Thu</t>
        </is>
      </c>
      <c r="H37" s="95" t="inlineStr">
        <is>
          <t>Fri</t>
        </is>
      </c>
      <c r="I37" s="95" t="inlineStr">
        <is>
          <t>Sat</t>
        </is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</row>
    <row r="38" ht="26" customHeight="1">
      <c r="A38" s="1" t="n"/>
      <c r="B38" s="1" t="n"/>
      <c r="C38" s="96">
        <f>IF(MONTH(Cal_Month-WEEKDAY(Cal_Month)+1+0)=MONTH(Cal_Month),DAY(Cal_Month-WEEKDAY(Cal_Month)+1+0),"")</f>
        <v/>
      </c>
      <c r="D38" s="96">
        <f>IF(MONTH(Cal_Month-WEEKDAY(Cal_Month)+1+1)=MONTH(Cal_Month),DAY(Cal_Month-WEEKDAY(Cal_Month)+1+1),"")</f>
        <v/>
      </c>
      <c r="E38" s="96">
        <f>IF(MONTH(Cal_Month-WEEKDAY(Cal_Month)+1+2)=MONTH(Cal_Month),DAY(Cal_Month-WEEKDAY(Cal_Month)+1+2),"")</f>
        <v/>
      </c>
      <c r="F38" s="96">
        <f>IF(MONTH(Cal_Month-WEEKDAY(Cal_Month)+1+3)=MONTH(Cal_Month),DAY(Cal_Month-WEEKDAY(Cal_Month)+1+3),"")</f>
        <v/>
      </c>
      <c r="G38" s="96">
        <f>IF(MONTH(Cal_Month-WEEKDAY(Cal_Month)+1+4)=MONTH(Cal_Month),DAY(Cal_Month-WEEKDAY(Cal_Month)+1+4),"")</f>
        <v/>
      </c>
      <c r="H38" s="96">
        <f>IF(MONTH(Cal_Month-WEEKDAY(Cal_Month)+1+5)=MONTH(Cal_Month),DAY(Cal_Month-WEEKDAY(Cal_Month)+1+5),"")</f>
        <v/>
      </c>
      <c r="I38" s="96">
        <f>IF(MONTH(Cal_Month-WEEKDAY(Cal_Month)+1+6)=MONTH(Cal_Month),DAY(Cal_Month-WEEKDAY(Cal_Month)+1+6),"")</f>
        <v/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</row>
    <row r="39" ht="26" customHeight="1">
      <c r="A39" s="1" t="n"/>
      <c r="B39" s="1" t="n"/>
      <c r="C39" s="96">
        <f>IF(MONTH(Cal_Month-WEEKDAY(Cal_Month)+1+7)=MONTH(Cal_Month),DAY(Cal_Month-WEEKDAY(Cal_Month)+1+7),"")</f>
        <v/>
      </c>
      <c r="D39" s="96">
        <f>IF(MONTH(Cal_Month-WEEKDAY(Cal_Month)+1+8)=MONTH(Cal_Month),DAY(Cal_Month-WEEKDAY(Cal_Month)+1+8),"")</f>
        <v/>
      </c>
      <c r="E39" s="96">
        <f>IF(MONTH(Cal_Month-WEEKDAY(Cal_Month)+1+9)=MONTH(Cal_Month),DAY(Cal_Month-WEEKDAY(Cal_Month)+1+9),"")</f>
        <v/>
      </c>
      <c r="F39" s="96">
        <f>IF(MONTH(Cal_Month-WEEKDAY(Cal_Month)+1+10)=MONTH(Cal_Month),DAY(Cal_Month-WEEKDAY(Cal_Month)+1+10),"")</f>
        <v/>
      </c>
      <c r="G39" s="96">
        <f>IF(MONTH(Cal_Month-WEEKDAY(Cal_Month)+1+11)=MONTH(Cal_Month),DAY(Cal_Month-WEEKDAY(Cal_Month)+1+11),"")</f>
        <v/>
      </c>
      <c r="H39" s="96">
        <f>IF(MONTH(Cal_Month-WEEKDAY(Cal_Month)+1+12)=MONTH(Cal_Month),DAY(Cal_Month-WEEKDAY(Cal_Month)+1+12),"")</f>
        <v/>
      </c>
      <c r="I39" s="96">
        <f>IF(MONTH(Cal_Month-WEEKDAY(Cal_Month)+1+13)=MONTH(Cal_Month),DAY(Cal_Month-WEEKDAY(Cal_Month)+1+13),"")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</row>
    <row r="40" ht="26" customHeight="1">
      <c r="A40" s="1" t="n"/>
      <c r="B40" s="1" t="n"/>
      <c r="C40" s="96">
        <f>IF(MONTH(Cal_Month-WEEKDAY(Cal_Month)+1+14)=MONTH(Cal_Month),DAY(Cal_Month-WEEKDAY(Cal_Month)+1+14),"")</f>
        <v/>
      </c>
      <c r="D40" s="96">
        <f>IF(MONTH(Cal_Month-WEEKDAY(Cal_Month)+1+15)=MONTH(Cal_Month),DAY(Cal_Month-WEEKDAY(Cal_Month)+1+15),"")</f>
        <v/>
      </c>
      <c r="E40" s="96">
        <f>IF(MONTH(Cal_Month-WEEKDAY(Cal_Month)+1+16)=MONTH(Cal_Month),DAY(Cal_Month-WEEKDAY(Cal_Month)+1+16),"")</f>
        <v/>
      </c>
      <c r="F40" s="96">
        <f>IF(MONTH(Cal_Month-WEEKDAY(Cal_Month)+1+17)=MONTH(Cal_Month),DAY(Cal_Month-WEEKDAY(Cal_Month)+1+17),"")</f>
        <v/>
      </c>
      <c r="G40" s="96">
        <f>IF(MONTH(Cal_Month-WEEKDAY(Cal_Month)+1+18)=MONTH(Cal_Month),DAY(Cal_Month-WEEKDAY(Cal_Month)+1+18),"")</f>
        <v/>
      </c>
      <c r="H40" s="96">
        <f>IF(MONTH(Cal_Month-WEEKDAY(Cal_Month)+1+19)=MONTH(Cal_Month),DAY(Cal_Month-WEEKDAY(Cal_Month)+1+19),"")</f>
        <v/>
      </c>
      <c r="I40" s="96">
        <f>IF(MONTH(Cal_Month-WEEKDAY(Cal_Month)+1+20)=MONTH(Cal_Month),DAY(Cal_Month-WEEKDAY(Cal_Month)+1+20),"")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</row>
    <row r="41" ht="26" customHeight="1">
      <c r="A41" s="1" t="n"/>
      <c r="B41" s="1" t="n"/>
      <c r="C41" s="96">
        <f>IF(MONTH(Cal_Month-WEEKDAY(Cal_Month)+1+21)=MONTH(Cal_Month),DAY(Cal_Month-WEEKDAY(Cal_Month)+1+21),"")</f>
        <v/>
      </c>
      <c r="D41" s="96">
        <f>IF(MONTH(Cal_Month-WEEKDAY(Cal_Month)+1+22)=MONTH(Cal_Month),DAY(Cal_Month-WEEKDAY(Cal_Month)+1+22),"")</f>
        <v/>
      </c>
      <c r="E41" s="96">
        <f>IF(MONTH(Cal_Month-WEEKDAY(Cal_Month)+1+23)=MONTH(Cal_Month),DAY(Cal_Month-WEEKDAY(Cal_Month)+1+23),"")</f>
        <v/>
      </c>
      <c r="F41" s="96">
        <f>IF(MONTH(Cal_Month-WEEKDAY(Cal_Month)+1+24)=MONTH(Cal_Month),DAY(Cal_Month-WEEKDAY(Cal_Month)+1+24),"")</f>
        <v/>
      </c>
      <c r="G41" s="96">
        <f>IF(MONTH(Cal_Month-WEEKDAY(Cal_Month)+1+25)=MONTH(Cal_Month),DAY(Cal_Month-WEEKDAY(Cal_Month)+1+25),"")</f>
        <v/>
      </c>
      <c r="H41" s="96">
        <f>IF(MONTH(Cal_Month-WEEKDAY(Cal_Month)+1+26)=MONTH(Cal_Month),DAY(Cal_Month-WEEKDAY(Cal_Month)+1+26),"")</f>
        <v/>
      </c>
      <c r="I41" s="96">
        <f>IF(MONTH(Cal_Month-WEEKDAY(Cal_Month)+1+27)=MONTH(Cal_Month),DAY(Cal_Month-WEEKDAY(Cal_Month)+1+27),"")</f>
        <v/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</row>
    <row r="42" ht="26" customHeight="1">
      <c r="A42" s="1" t="n"/>
      <c r="B42" s="1" t="n"/>
      <c r="C42" s="96">
        <f>IF(MONTH(Cal_Month-WEEKDAY(Cal_Month)+1+28)=MONTH(Cal_Month),DAY(Cal_Month-WEEKDAY(Cal_Month)+1+28),"")</f>
        <v/>
      </c>
      <c r="D42" s="96">
        <f>IF(MONTH(Cal_Month-WEEKDAY(Cal_Month)+1+29)=MONTH(Cal_Month),DAY(Cal_Month-WEEKDAY(Cal_Month)+1+29),"")</f>
        <v/>
      </c>
      <c r="E42" s="96">
        <f>IF(MONTH(Cal_Month-WEEKDAY(Cal_Month)+1+30)=MONTH(Cal_Month),DAY(Cal_Month-WEEKDAY(Cal_Month)+1+30),"")</f>
        <v/>
      </c>
      <c r="F42" s="96">
        <f>IF(MONTH(Cal_Month-WEEKDAY(Cal_Month)+1+31)=MONTH(Cal_Month),DAY(Cal_Month-WEEKDAY(Cal_Month)+1+31),"")</f>
        <v/>
      </c>
      <c r="G42" s="96">
        <f>IF(MONTH(Cal_Month-WEEKDAY(Cal_Month)+1+32)=MONTH(Cal_Month),DAY(Cal_Month-WEEKDAY(Cal_Month)+1+32),"")</f>
        <v/>
      </c>
      <c r="H42" s="96">
        <f>IF(MONTH(Cal_Month-WEEKDAY(Cal_Month)+1+33)=MONTH(Cal_Month),DAY(Cal_Month-WEEKDAY(Cal_Month)+1+33),"")</f>
        <v/>
      </c>
      <c r="I42" s="96">
        <f>IF(MONTH(Cal_Month-WEEKDAY(Cal_Month)+1+34)=MONTH(Cal_Month),DAY(Cal_Month-WEEKDAY(Cal_Month)+1+34),"")</f>
        <v/>
      </c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</row>
    <row r="43" ht="26" customHeight="1">
      <c r="A43" s="1" t="n"/>
      <c r="B43" s="1" t="n"/>
      <c r="C43" s="96">
        <f>IF(MONTH(Cal_Month-WEEKDAY(Cal_Month)+1+35)=MONTH(Cal_Month),DAY(Cal_Month-WEEKDAY(Cal_Month)+1+35),"")</f>
        <v/>
      </c>
      <c r="D43" s="96">
        <f>IF(MONTH(Cal_Month-WEEKDAY(Cal_Month)+1+36)=MONTH(Cal_Month),DAY(Cal_Month-WEEKDAY(Cal_Month)+1+36),"")</f>
        <v/>
      </c>
      <c r="E43" s="96">
        <f>IF(MONTH(Cal_Month-WEEKDAY(Cal_Month)+1+37)=MONTH(Cal_Month),DAY(Cal_Month-WEEKDAY(Cal_Month)+1+37),"")</f>
        <v/>
      </c>
      <c r="F43" s="96">
        <f>IF(MONTH(Cal_Month-WEEKDAY(Cal_Month)+1+38)=MONTH(Cal_Month),DAY(Cal_Month-WEEKDAY(Cal_Month)+1+38),"")</f>
        <v/>
      </c>
      <c r="G43" s="96">
        <f>IF(MONTH(Cal_Month-WEEKDAY(Cal_Month)+1+39)=MONTH(Cal_Month),DAY(Cal_Month-WEEKDAY(Cal_Month)+1+39),"")</f>
        <v/>
      </c>
      <c r="H43" s="96">
        <f>IF(MONTH(Cal_Month-WEEKDAY(Cal_Month)+1+40)=MONTH(Cal_Month),DAY(Cal_Month-WEEKDAY(Cal_Month)+1+40),"")</f>
        <v/>
      </c>
      <c r="I43" s="96">
        <f>IF(MONTH(Cal_Month-WEEKDAY(Cal_Month)+1+41)=MONTH(Cal_Month),DAY(Cal_Month-WEEKDAY(Cal_Month)+1+41),"")</f>
        <v/>
      </c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</row>
  </sheetData>
  <mergeCells count="12">
    <mergeCell ref="B6:M6"/>
    <mergeCell ref="C2:K2"/>
    <mergeCell ref="B32"/>
    <mergeCell ref="B22:G22"/>
    <mergeCell ref="B34:I34"/>
    <mergeCell ref="E35:K35"/>
    <mergeCell ref="B36:M36"/>
    <mergeCell ref="C3:K3"/>
    <mergeCell ref="B23:I23"/>
    <mergeCell ref="B5:K5"/>
    <mergeCell ref="B31"/>
    <mergeCell ref="B20:D20"/>
  </mergeCells>
  <conditionalFormatting sqref="G8:R19">
    <cfRule type="expression" priority="1" dxfId="0" stopIfTrue="0">
      <formula>G8="✓"</formula>
    </cfRule>
  </conditionalFormatting>
  <conditionalFormatting sqref="E25:E30">
    <cfRule type="expression" priority="2" dxfId="0" stopIfTrue="0">
      <formula>E25="✓"</formula>
    </cfRule>
  </conditionalFormatting>
  <conditionalFormatting sqref="C38:I43">
    <cfRule type="expression" priority="3" dxfId="1" stopIfTrue="0">
      <formula>AND(C38&lt;&gt;"",COUNTIF(Bill_DueDay,C38)&gt;0)</formula>
    </cfRule>
  </conditionalFormatting>
  <dataValidations count="3">
    <dataValidation sqref="E8:E19" showDropDown="0" showInputMessage="1" showErrorMessage="1" allowBlank="1" errorTitle="Please pick from the list" error="Use the dropdown arrow to choose one of the listed options." promptTitle="Pick from the list" prompt="Should this feed the dashboard budget?" type="list">
      <formula1>'Lists'!$B$1:$B$2</formula1>
    </dataValidation>
    <dataValidation sqref="G8:R19" showDropDown="0" showInputMessage="1" showErrorMessage="1" allowBlank="1" errorTitle="Please pick from the list" error="Use the dropdown arrow to choose one of the listed options." promptTitle="Pick from the list" prompt="Tick when paid" type="list">
      <formula1>'Lists'!$A$1:$A$2</formula1>
    </dataValidation>
    <dataValidation sqref="E25:E30" showDropDown="0" showInputMessage="1" showErrorMessage="1" allowBlank="1" errorTitle="Please pick from the list" error="Use the dropdown arrow to choose one of the listed options." promptTitle="Pick from the list" prompt="Tick when paid" type="list">
      <formula1>'Lists'!$A$1:$A$2</formula1>
    </dataValidation>
  </dataValidation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FF6792"/>
    <outlinePr summaryBelow="1" summaryRight="1"/>
    <pageSetUpPr fitToPage="1"/>
  </sheetPr>
  <dimension ref="A1:T70"/>
  <sheetViews>
    <sheetView showGridLines="0" zoomScale="100" workbookViewId="0">
      <selection activeCell="A1" sqref="A1"/>
    </sheetView>
  </sheetViews>
  <sheetFormatPr baseColWidth="8" defaultRowHeight="15"/>
  <cols>
    <col width="2.6" customWidth="1" min="1" max="1"/>
    <col width="26" customWidth="1" min="2" max="2"/>
    <col width="16" customWidth="1" min="3" max="3"/>
    <col width="12" customWidth="1" min="4" max="4"/>
    <col width="13" customWidth="1" min="5" max="5"/>
    <col width="16" customWidth="1" min="6" max="6"/>
    <col width="13" customWidth="1" min="7" max="7"/>
    <col width="14" customWidth="1" min="8" max="8"/>
    <col width="3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2" customWidth="1" min="16" max="16"/>
    <col width="14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72" t="inlineStr"/>
      <c r="C2" s="3" t="inlineStr">
        <is>
          <t>DEBT TRACKER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1" t="n"/>
      <c r="C3" s="4" t="inlineStr">
        <is>
          <t>Pay the Avion in full every month. Build your emergency fund, then crush the 12% India loan.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" t="n"/>
      <c r="B5" s="39" t="inlineStr">
        <is>
          <t>INDIA EDUCATION LOAN — CURRENCY CONVERTER</t>
        </is>
      </c>
      <c r="I5" s="1" t="n"/>
      <c r="J5" s="97" t="inlineStr">
        <is>
          <t>RBC AVION VISA</t>
        </is>
      </c>
      <c r="O5" s="1" t="n"/>
      <c r="P5" s="1" t="n"/>
      <c r="Q5" s="1" t="n"/>
      <c r="R5" s="1" t="n"/>
      <c r="S5" s="1" t="n"/>
      <c r="T5" s="1" t="n"/>
    </row>
    <row r="6" ht="26" customHeight="1">
      <c r="A6" s="1" t="n"/>
      <c r="B6" s="45" t="inlineStr">
        <is>
          <t>ⓘ  Type the rupee amounts and today's exchange rate (how many rupees per $1 CAD). The CAD figures update by themselves.</t>
        </is>
      </c>
      <c r="J6" s="49" t="inlineStr">
        <is>
          <t>Credit limit</t>
        </is>
      </c>
      <c r="K6" s="1" t="n"/>
      <c r="L6" s="98" t="n">
        <v>1000</v>
      </c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1" t="n"/>
      <c r="B7" s="49" t="inlineStr">
        <is>
          <t>Still owed (₹ INR)</t>
        </is>
      </c>
      <c r="C7" s="71" t="n">
        <v>1500000</v>
      </c>
      <c r="D7" s="1" t="n"/>
      <c r="E7" s="49" t="inlineStr">
        <is>
          <t>→ in CAD:</t>
        </is>
      </c>
      <c r="F7" s="99">
        <f>INR_Owed/INR_per_CAD</f>
        <v/>
      </c>
      <c r="G7" s="1" t="n"/>
      <c r="H7" s="1" t="n"/>
      <c r="I7" s="1" t="n"/>
      <c r="J7" s="49" t="inlineStr">
        <is>
          <t>Interest if unpaid</t>
        </is>
      </c>
      <c r="K7" s="1" t="n"/>
      <c r="L7" s="100" t="n">
        <v>0.1999</v>
      </c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n"/>
      <c r="B8" s="49" t="inlineStr">
        <is>
          <t>Exchange rate (₹ per $1 CAD)</t>
        </is>
      </c>
      <c r="C8" s="101" t="n">
        <v>62</v>
      </c>
      <c r="D8" s="1" t="n"/>
      <c r="E8" s="1" t="n"/>
      <c r="F8" s="1" t="n"/>
      <c r="G8" s="1" t="n"/>
      <c r="H8" s="1" t="n"/>
      <c r="I8" s="1" t="n"/>
      <c r="J8" s="49" t="inlineStr">
        <is>
          <t>Balance carried (should be $0)</t>
        </is>
      </c>
      <c r="K8" s="1" t="n"/>
      <c r="L8" s="102" t="n">
        <v>0</v>
      </c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49" t="inlineStr">
        <is>
          <t>Monthly payment (₹ INR)</t>
        </is>
      </c>
      <c r="C9" s="71" t="n">
        <v>23338</v>
      </c>
      <c r="D9" s="1" t="n"/>
      <c r="E9" s="49" t="inlineStr">
        <is>
          <t>→ in CAD:</t>
        </is>
      </c>
      <c r="F9" s="99">
        <f>INR_Pay/INR_per_CAD</f>
        <v/>
      </c>
      <c r="G9" s="1" t="n"/>
      <c r="H9" s="1" t="n"/>
      <c r="I9" s="1" t="n"/>
      <c r="J9" s="103">
        <f>IF(Avion_Bal&gt;0,"⚠ PAY THIS OFF — 19.99% is costing you money!","✓ Paid in full — nice work")</f>
        <v/>
      </c>
      <c r="P9" s="1" t="n"/>
      <c r="Q9" s="1" t="n"/>
      <c r="R9" s="1" t="n"/>
      <c r="S9" s="1" t="n"/>
      <c r="T9" s="1" t="n"/>
    </row>
    <row r="10">
      <c r="A10" s="1" t="n"/>
      <c r="B10" s="49" t="inlineStr">
        <is>
          <t>Interest rate (per year)</t>
        </is>
      </c>
      <c r="C10" s="57" t="n">
        <v>0.12</v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 ht="24" customHeight="1">
      <c r="A11" s="1" t="n"/>
      <c r="B11" s="45" t="inlineStr">
        <is>
          <t>ⓘ  Your India loan is 12%/yr — that's expensive. Once your emergency fund is built, this is the #1 thing to attack.</t>
        </is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39" t="inlineStr">
        <is>
          <t>DEBT OVERVIEW (UP TO 12 DEBTS)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 ht="26" customHeight="1">
      <c r="A14" s="1" t="n"/>
      <c r="B14" s="45" t="inlineStr">
        <is>
          <t>ⓘ  India &amp; Avion fill in from the boxes above. For any other debt, type into the gold cells. 'Months left' and 'Debt-free date' calculate from your payment.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>
      <c r="A15" s="1" t="n"/>
      <c r="B15" s="104" t="inlineStr">
        <is>
          <t>Debt</t>
        </is>
      </c>
      <c r="C15" s="105" t="inlineStr">
        <is>
          <t>Amount owed (CAD)</t>
        </is>
      </c>
      <c r="D15" s="105" t="inlineStr">
        <is>
          <t>Interest</t>
        </is>
      </c>
      <c r="E15" s="105" t="inlineStr">
        <is>
          <t>Start date</t>
        </is>
      </c>
      <c r="F15" s="105" t="inlineStr">
        <is>
          <t>Min monthly (CAD)</t>
        </is>
      </c>
      <c r="G15" s="105" t="inlineStr">
        <is>
          <t>Months left</t>
        </is>
      </c>
      <c r="H15" s="105" t="inlineStr">
        <is>
          <t>Debt-free date</t>
        </is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06" t="inlineStr">
        <is>
          <t>Year</t>
        </is>
      </c>
      <c r="R15" s="106" t="inlineStr">
        <is>
          <t>Projected debt</t>
        </is>
      </c>
      <c r="S15" s="1" t="n"/>
      <c r="T15" s="1" t="n"/>
    </row>
    <row r="16">
      <c r="A16" s="1" t="n"/>
      <c r="B16" s="107" t="inlineStr">
        <is>
          <t>India education loan</t>
        </is>
      </c>
      <c r="C16" s="108">
        <f>India_CAD</f>
        <v/>
      </c>
      <c r="D16" s="109">
        <f>India_Rate</f>
        <v/>
      </c>
      <c r="E16" s="70" t="n">
        <v>46204</v>
      </c>
      <c r="F16" s="110">
        <f>India_Pay</f>
        <v/>
      </c>
      <c r="G16" s="111">
        <f>IF(N(C16)&lt;=0,"",IF(F16&lt;=C16*(D16/12),"⚠ raise pay",ROUNDUP(NPER(D16/12,-F16,C16),0)))</f>
        <v/>
      </c>
      <c r="H16" s="112">
        <f>IF(ISNUMBER(G16),EDATE(TODAY(),G16),"—")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47" t="inlineStr">
        <is>
          <t>Y0</t>
        </is>
      </c>
      <c r="R16" s="113">
        <f>MAX(0,India_CAD*(1+India_Rate/12)^0-India_Pay*(((1+India_Rate/12)^0)-1)/(India_Rate/12))+SUM(C17:C27)</f>
        <v/>
      </c>
      <c r="S16" s="1" t="n"/>
      <c r="T16" s="1" t="n"/>
    </row>
    <row r="17">
      <c r="A17" s="1" t="n"/>
      <c r="B17" s="114" t="inlineStr">
        <is>
          <t>RBC Avion Visa</t>
        </is>
      </c>
      <c r="C17" s="115">
        <f>Avion_Bal</f>
        <v/>
      </c>
      <c r="D17" s="116" t="n">
        <v>0.1999</v>
      </c>
      <c r="E17" s="70" t="n">
        <v>45261</v>
      </c>
      <c r="F17" s="102" t="n">
        <v>0</v>
      </c>
      <c r="G17" s="117">
        <f>IF(N(C17)&lt;=0,"",IF(F17&lt;=C17*(D17/12),"⚠ raise pay",ROUNDUP(NPER(D17/12,-F17,C17),0)))</f>
        <v/>
      </c>
      <c r="H17" s="118">
        <f>IF(ISNUMBER(G17),EDATE(TODAY(),G17),"—")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47" t="inlineStr">
        <is>
          <t>Y1</t>
        </is>
      </c>
      <c r="R17" s="113">
        <f>MAX(0,India_CAD*(1+India_Rate/12)^12-India_Pay*(((1+India_Rate/12)^12)-1)/(India_Rate/12))+SUM(C17:C27)</f>
        <v/>
      </c>
      <c r="S17" s="1" t="n"/>
      <c r="T17" s="1" t="n"/>
    </row>
    <row r="18">
      <c r="A18" s="1" t="n"/>
      <c r="B18" s="68" t="n"/>
      <c r="C18" s="102" t="n"/>
      <c r="D18" s="57" t="n"/>
      <c r="E18" s="70" t="n"/>
      <c r="F18" s="102" t="n"/>
      <c r="G18" s="111">
        <f>IF(N(C18)&lt;=0,"",IF(F18&lt;=C18*(D18/12),"⚠ raise pay",ROUNDUP(NPER(D18/12,-F18,C18),0)))</f>
        <v/>
      </c>
      <c r="H18" s="112">
        <f>IF(ISNUMBER(G18),EDATE(TODAY(),G18),"—")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47" t="inlineStr">
        <is>
          <t>Y2</t>
        </is>
      </c>
      <c r="R18" s="113">
        <f>MAX(0,India_CAD*(1+India_Rate/12)^24-India_Pay*(((1+India_Rate/12)^24)-1)/(India_Rate/12))+SUM(C17:C27)</f>
        <v/>
      </c>
      <c r="S18" s="1" t="n"/>
      <c r="T18" s="1" t="n"/>
    </row>
    <row r="19">
      <c r="A19" s="1" t="n"/>
      <c r="B19" s="68" t="n"/>
      <c r="C19" s="102" t="n"/>
      <c r="D19" s="57" t="n"/>
      <c r="E19" s="70" t="n"/>
      <c r="F19" s="102" t="n"/>
      <c r="G19" s="117">
        <f>IF(N(C19)&lt;=0,"",IF(F19&lt;=C19*(D19/12),"⚠ raise pay",ROUNDUP(NPER(D19/12,-F19,C19),0)))</f>
        <v/>
      </c>
      <c r="H19" s="118">
        <f>IF(ISNUMBER(G19),EDATE(TODAY(),G19),"—")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47" t="inlineStr">
        <is>
          <t>Y3</t>
        </is>
      </c>
      <c r="R19" s="113">
        <f>MAX(0,India_CAD*(1+India_Rate/12)^36-India_Pay*(((1+India_Rate/12)^36)-1)/(India_Rate/12))+SUM(C17:C27)</f>
        <v/>
      </c>
      <c r="S19" s="1" t="n"/>
      <c r="T19" s="1" t="n"/>
    </row>
    <row r="20">
      <c r="A20" s="1" t="n"/>
      <c r="B20" s="68" t="n"/>
      <c r="C20" s="102" t="n"/>
      <c r="D20" s="57" t="n"/>
      <c r="E20" s="70" t="n"/>
      <c r="F20" s="102" t="n"/>
      <c r="G20" s="111">
        <f>IF(N(C20)&lt;=0,"",IF(F20&lt;=C20*(D20/12),"⚠ raise pay",ROUNDUP(NPER(D20/12,-F20,C20),0)))</f>
        <v/>
      </c>
      <c r="H20" s="112">
        <f>IF(ISNUMBER(G20),EDATE(TODAY(),G20),"—")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47" t="inlineStr">
        <is>
          <t>Y4</t>
        </is>
      </c>
      <c r="R20" s="113">
        <f>MAX(0,India_CAD*(1+India_Rate/12)^48-India_Pay*(((1+India_Rate/12)^48)-1)/(India_Rate/12))+SUM(C17:C27)</f>
        <v/>
      </c>
      <c r="S20" s="1" t="n"/>
      <c r="T20" s="1" t="n"/>
    </row>
    <row r="21">
      <c r="A21" s="1" t="n"/>
      <c r="B21" s="68" t="n"/>
      <c r="C21" s="102" t="n"/>
      <c r="D21" s="57" t="n"/>
      <c r="E21" s="70" t="n"/>
      <c r="F21" s="102" t="n"/>
      <c r="G21" s="117">
        <f>IF(N(C21)&lt;=0,"",IF(F21&lt;=C21*(D21/12),"⚠ raise pay",ROUNDUP(NPER(D21/12,-F21,C21),0)))</f>
        <v/>
      </c>
      <c r="H21" s="118">
        <f>IF(ISNUMBER(G21),EDATE(TODAY(),G21),"—")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47" t="inlineStr">
        <is>
          <t>Y5</t>
        </is>
      </c>
      <c r="R21" s="113">
        <f>MAX(0,India_CAD*(1+India_Rate/12)^60-India_Pay*(((1+India_Rate/12)^60)-1)/(India_Rate/12))+SUM(C17:C27)</f>
        <v/>
      </c>
      <c r="S21" s="1" t="n"/>
      <c r="T21" s="1" t="n"/>
    </row>
    <row r="22">
      <c r="A22" s="1" t="n"/>
      <c r="B22" s="68" t="n"/>
      <c r="C22" s="102" t="n"/>
      <c r="D22" s="57" t="n"/>
      <c r="E22" s="70" t="n"/>
      <c r="F22" s="102" t="n"/>
      <c r="G22" s="111">
        <f>IF(N(C22)&lt;=0,"",IF(F22&lt;=C22*(D22/12),"⚠ raise pay",ROUNDUP(NPER(D22/12,-F22,C22),0)))</f>
        <v/>
      </c>
      <c r="H22" s="112">
        <f>IF(ISNUMBER(G22),EDATE(TODAY(),G22),"—")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47" t="inlineStr">
        <is>
          <t>Y6</t>
        </is>
      </c>
      <c r="R22" s="113">
        <f>MAX(0,India_CAD*(1+India_Rate/12)^72-India_Pay*(((1+India_Rate/12)^72)-1)/(India_Rate/12))+SUM(C17:C27)</f>
        <v/>
      </c>
      <c r="S22" s="1" t="n"/>
      <c r="T22" s="1" t="n"/>
    </row>
    <row r="23">
      <c r="A23" s="1" t="n"/>
      <c r="B23" s="68" t="n"/>
      <c r="C23" s="102" t="n"/>
      <c r="D23" s="57" t="n"/>
      <c r="E23" s="70" t="n"/>
      <c r="F23" s="102" t="n"/>
      <c r="G23" s="117">
        <f>IF(N(C23)&lt;=0,"",IF(F23&lt;=C23*(D23/12),"⚠ raise pay",ROUNDUP(NPER(D23/12,-F23,C23),0)))</f>
        <v/>
      </c>
      <c r="H23" s="118">
        <f>IF(ISNUMBER(G23),EDATE(TODAY(),G23),"—")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47" t="inlineStr">
        <is>
          <t>Y7</t>
        </is>
      </c>
      <c r="R23" s="113">
        <f>MAX(0,India_CAD*(1+India_Rate/12)^84-India_Pay*(((1+India_Rate/12)^84)-1)/(India_Rate/12))+SUM(C17:C27)</f>
        <v/>
      </c>
      <c r="S23" s="1" t="n"/>
      <c r="T23" s="1" t="n"/>
    </row>
    <row r="24">
      <c r="A24" s="1" t="n"/>
      <c r="B24" s="68" t="n"/>
      <c r="C24" s="102" t="n"/>
      <c r="D24" s="57" t="n"/>
      <c r="E24" s="70" t="n"/>
      <c r="F24" s="102" t="n"/>
      <c r="G24" s="111">
        <f>IF(N(C24)&lt;=0,"",IF(F24&lt;=C24*(D24/12),"⚠ raise pay",ROUNDUP(NPER(D24/12,-F24,C24),0)))</f>
        <v/>
      </c>
      <c r="H24" s="112">
        <f>IF(ISNUMBER(G24),EDATE(TODAY(),G24),"—")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47" t="inlineStr">
        <is>
          <t>Y8</t>
        </is>
      </c>
      <c r="R24" s="113">
        <f>MAX(0,India_CAD*(1+India_Rate/12)^96-India_Pay*(((1+India_Rate/12)^96)-1)/(India_Rate/12))+SUM(C17:C27)</f>
        <v/>
      </c>
      <c r="S24" s="1" t="n"/>
      <c r="T24" s="1" t="n"/>
    </row>
    <row r="25">
      <c r="A25" s="1" t="n"/>
      <c r="B25" s="68" t="n"/>
      <c r="C25" s="102" t="n"/>
      <c r="D25" s="57" t="n"/>
      <c r="E25" s="70" t="n"/>
      <c r="F25" s="102" t="n"/>
      <c r="G25" s="117">
        <f>IF(N(C25)&lt;=0,"",IF(F25&lt;=C25*(D25/12),"⚠ raise pay",ROUNDUP(NPER(D25/12,-F25,C25),0)))</f>
        <v/>
      </c>
      <c r="H25" s="118">
        <f>IF(ISNUMBER(G25),EDATE(TODAY(),G25),"—")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47" t="inlineStr">
        <is>
          <t>Y9</t>
        </is>
      </c>
      <c r="R25" s="113">
        <f>MAX(0,India_CAD*(1+India_Rate/12)^108-India_Pay*(((1+India_Rate/12)^108)-1)/(India_Rate/12))+SUM(C17:C27)</f>
        <v/>
      </c>
      <c r="S25" s="1" t="n"/>
      <c r="T25" s="1" t="n"/>
    </row>
    <row r="26">
      <c r="A26" s="1" t="n"/>
      <c r="B26" s="68" t="n"/>
      <c r="C26" s="102" t="n"/>
      <c r="D26" s="57" t="n"/>
      <c r="E26" s="70" t="n"/>
      <c r="F26" s="102" t="n"/>
      <c r="G26" s="111">
        <f>IF(N(C26)&lt;=0,"",IF(F26&lt;=C26*(D26/12),"⚠ raise pay",ROUNDUP(NPER(D26/12,-F26,C26),0)))</f>
        <v/>
      </c>
      <c r="H26" s="112">
        <f>IF(ISNUMBER(G26),EDATE(TODAY(),G26),"—")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47" t="inlineStr">
        <is>
          <t>Y10</t>
        </is>
      </c>
      <c r="R26" s="113">
        <f>MAX(0,India_CAD*(1+India_Rate/12)^120-India_Pay*(((1+India_Rate/12)^120)-1)/(India_Rate/12))+SUM(C17:C27)</f>
        <v/>
      </c>
      <c r="S26" s="1" t="n"/>
      <c r="T26" s="1" t="n"/>
    </row>
    <row r="27">
      <c r="A27" s="1" t="n"/>
      <c r="B27" s="68" t="n"/>
      <c r="C27" s="102" t="n"/>
      <c r="D27" s="57" t="n"/>
      <c r="E27" s="70" t="n"/>
      <c r="F27" s="102" t="n"/>
      <c r="G27" s="117">
        <f>IF(N(C27)&lt;=0,"",IF(F27&lt;=C27*(D27/12),"⚠ raise pay",ROUNDUP(NPER(D27/12,-F27,C27),0)))</f>
        <v/>
      </c>
      <c r="H27" s="118">
        <f>IF(ISNUMBER(G27),EDATE(TODAY(),G27),"—")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47" t="inlineStr">
        <is>
          <t>Y11</t>
        </is>
      </c>
      <c r="R27" s="113">
        <f>MAX(0,India_CAD*(1+India_Rate/12)^132-India_Pay*(((1+India_Rate/12)^132)-1)/(India_Rate/12))+SUM(C17:C27)</f>
        <v/>
      </c>
      <c r="S27" s="1" t="n"/>
      <c r="T27" s="1" t="n"/>
    </row>
    <row r="28">
      <c r="A28" s="1" t="n"/>
      <c r="B28" s="119" t="inlineStr">
        <is>
          <t>TOTAL DEBT / DEBT-FREE DATE</t>
        </is>
      </c>
      <c r="C28" s="120">
        <f>SUM(C16:C27)</f>
        <v/>
      </c>
      <c r="D28" s="75" t="n"/>
      <c r="E28" s="75" t="n"/>
      <c r="F28" s="75" t="n"/>
      <c r="G28" s="75" t="n"/>
      <c r="H28" s="121">
        <f>IFERROR(EDATE(TODAY(),MAX(IF(ISNUMBER(G16:G27),G16:G27))),"—")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47" t="inlineStr">
        <is>
          <t>Y12</t>
        </is>
      </c>
      <c r="R28" s="113">
        <f>MAX(0,India_CAD*(1+India_Rate/12)^144-India_Pay*(((1+India_Rate/12)^144)-1)/(India_Rate/12))+SUM(C17:C27)</f>
        <v/>
      </c>
      <c r="S28" s="1" t="n"/>
      <c r="T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39" t="inlineStr">
        <is>
          <t>DEBT GOING DOWN OVER TIME</t>
        </is>
      </c>
      <c r="I30" s="1" t="n"/>
      <c r="J30" s="39" t="inlineStr">
        <is>
          <t>CURRENT BALANCES</t>
        </is>
      </c>
      <c r="O30" s="97" t="inlineStr">
        <is>
          <t>MONTHS LEFT</t>
        </is>
      </c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</row>
  </sheetData>
  <mergeCells count="13">
    <mergeCell ref="C2:K2"/>
    <mergeCell ref="B13:I13"/>
    <mergeCell ref="J30:N30"/>
    <mergeCell ref="B11:I11"/>
    <mergeCell ref="B6:I6"/>
    <mergeCell ref="J5:N5"/>
    <mergeCell ref="B14:J14"/>
    <mergeCell ref="B30:H30"/>
    <mergeCell ref="C3:K3"/>
    <mergeCell ref="J9:O9"/>
    <mergeCell ref="B28"/>
    <mergeCell ref="B5:H5"/>
    <mergeCell ref="O30:S30"/>
  </mergeCells>
  <conditionalFormatting sqref="J9:O9">
    <cfRule type="expression" priority="1" dxfId="1" stopIfTrue="0">
      <formula>Avion_Bal&gt;0</formula>
    </cfRule>
    <cfRule type="expression" priority="2" dxfId="2" stopIfTrue="0">
      <formula>Avion_Bal&lt;=0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35E6B6"/>
    <outlinePr summaryBelow="1" summaryRight="1"/>
    <pageSetUpPr fitToPage="1"/>
  </sheetPr>
  <dimension ref="A1:P60"/>
  <sheetViews>
    <sheetView showGridLines="0" zoomScale="105" workbookViewId="0">
      <selection activeCell="A1" sqref="A1"/>
    </sheetView>
  </sheetViews>
  <sheetFormatPr baseColWidth="8" defaultRowHeight="15"/>
  <cols>
    <col width="2.6" customWidth="1" min="1" max="1"/>
    <col width="24" customWidth="1" min="2" max="2"/>
    <col width="15" customWidth="1" min="3" max="3"/>
    <col width="15" customWidth="1" min="4" max="4"/>
    <col width="15" customWidth="1" min="5" max="5"/>
    <col width="13" customWidth="1" min="6" max="6"/>
    <col width="16" customWidth="1" min="7" max="7"/>
    <col width="16" customWidth="1" min="8" max="8"/>
    <col width="13" customWidth="1" min="9" max="9"/>
    <col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2" t="inlineStr"/>
      <c r="C2" s="3" t="inlineStr">
        <is>
          <t>SAVINGS &amp; GOALS</t>
        </is>
      </c>
      <c r="L2" s="1" t="n"/>
      <c r="M2" s="1" t="n"/>
      <c r="N2" s="1" t="n"/>
      <c r="O2" s="1" t="n"/>
      <c r="P2" s="1" t="n"/>
    </row>
    <row r="3">
      <c r="A3" s="1" t="n"/>
      <c r="B3" s="1" t="n"/>
      <c r="C3" s="4" t="inlineStr">
        <is>
          <t>Your accounts and the goals you're saving toward. Type into gold cells only.</t>
        </is>
      </c>
      <c r="L3" s="1" t="n"/>
      <c r="M3" s="1" t="n"/>
      <c r="N3" s="1" t="n"/>
      <c r="O3" s="1" t="n"/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11" t="inlineStr">
        <is>
          <t>ACCOUNTS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28" customHeight="1">
      <c r="A6" s="1" t="n"/>
      <c r="B6" s="45" t="inlineStr">
        <is>
          <t>ⓘ  Update each balance whenever you check your apps. The $25 Saven membership share is NOT real savings, so it is shown separately and left out of every total.</t>
        </is>
      </c>
      <c r="J6" s="1" t="n"/>
      <c r="K6" s="1" t="n"/>
      <c r="L6" s="1" t="n"/>
      <c r="M6" s="1" t="n"/>
      <c r="N6" s="1" t="n"/>
      <c r="O6" s="1" t="n"/>
      <c r="P6" s="1" t="n"/>
    </row>
    <row r="7">
      <c r="A7" s="1" t="n"/>
      <c r="B7" s="63" t="inlineStr">
        <is>
          <t>Account</t>
        </is>
      </c>
      <c r="C7" s="64" t="inlineStr">
        <is>
          <t>Balance</t>
        </is>
      </c>
      <c r="D7" s="64" t="inlineStr">
        <is>
          <t>Rate / Auto</t>
        </is>
      </c>
      <c r="E7" s="64" t="inlineStr">
        <is>
          <t>This month's interest</t>
        </is>
      </c>
      <c r="F7" s="65" t="inlineStr">
        <is>
          <t>Notes</t>
        </is>
      </c>
      <c r="G7" s="66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40" t="inlineStr">
        <is>
          <t>Saven HISA (emergency fund)</t>
        </is>
      </c>
      <c r="C8" s="50" t="n">
        <v>300</v>
      </c>
      <c r="D8" s="57" t="n">
        <v>0.0285</v>
      </c>
      <c r="E8" s="122">
        <f>C8*D8/12</f>
        <v/>
      </c>
      <c r="F8" s="79" t="inlineStr">
        <is>
          <t>Main emergency fund — earns interest</t>
        </is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1" t="n"/>
      <c r="B9" s="123" t="inlineStr">
        <is>
          <t xml:space="preserve">  • Membership share (not savings)</t>
        </is>
      </c>
      <c r="C9" s="50" t="n">
        <v>25</v>
      </c>
      <c r="D9" s="124" t="inlineStr">
        <is>
          <t>—</t>
        </is>
      </c>
      <c r="E9" s="124" t="inlineStr">
        <is>
          <t>—</t>
        </is>
      </c>
      <c r="F9" s="125" t="inlineStr">
        <is>
          <t>One-time, no interest, excluded from totals</t>
        </is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>
      <c r="A10" s="1" t="n"/>
      <c r="B10" s="40" t="inlineStr">
        <is>
          <t>Wealthsimple TFSA (XEQT)</t>
        </is>
      </c>
      <c r="C10" s="50" t="n">
        <v>100</v>
      </c>
      <c r="D10" s="50" t="n">
        <v>10</v>
      </c>
      <c r="E10" s="126" t="inlineStr">
        <is>
          <t>auto</t>
        </is>
      </c>
      <c r="F10" s="127" t="inlineStr">
        <is>
          <t>Long-term (5+ yrs). $ auto-invested monthly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>
      <c r="A11" s="1" t="n"/>
      <c r="B11" s="128" t="inlineStr">
        <is>
          <t>Wealthsimple HISA</t>
        </is>
      </c>
      <c r="C11" s="50" t="n">
        <v>0</v>
      </c>
      <c r="D11" s="124" t="inlineStr">
        <is>
          <t>—</t>
        </is>
      </c>
      <c r="E11" s="124" t="inlineStr">
        <is>
          <t>—</t>
        </is>
      </c>
      <c r="F11" s="129" t="inlineStr">
        <is>
          <t>Spare HISA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>
      <c r="A12" s="1" t="n"/>
      <c r="B12" s="40" t="inlineStr">
        <is>
          <t>RBC chequing</t>
        </is>
      </c>
      <c r="C12" s="50" t="n">
        <v>500</v>
      </c>
      <c r="D12" s="130" t="inlineStr">
        <is>
          <t>—</t>
        </is>
      </c>
      <c r="E12" s="130" t="inlineStr">
        <is>
          <t>—</t>
        </is>
      </c>
      <c r="F12" s="79" t="inlineStr">
        <is>
          <t>Everyday account (usually $300–$700)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" t="n"/>
      <c r="B13" s="131" t="inlineStr">
        <is>
          <t>TOTAL SAVINGS (excl. membership share)</t>
        </is>
      </c>
      <c r="C13" s="69">
        <f>Saven_Bal+WS_TFSA+WS_HISA+RBC_Chq</f>
        <v/>
      </c>
      <c r="D13" s="132" t="inlineStr">
        <is>
          <t>Saven + TFSA + WS HISA + chequing</t>
        </is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>
      <c r="A16" s="1" t="n"/>
      <c r="B16" s="11" t="inlineStr">
        <is>
          <t>GOALS</t>
        </is>
      </c>
      <c r="J16" s="1" t="n"/>
      <c r="K16" s="1" t="n"/>
      <c r="L16" s="1" t="n"/>
      <c r="M16" s="1" t="n"/>
      <c r="N16" s="1" t="n"/>
      <c r="O16" s="1" t="n"/>
      <c r="P16" s="1" t="n"/>
    </row>
    <row r="17" ht="28" customHeight="1">
      <c r="A17" s="1" t="n"/>
      <c r="B17" s="45" t="inlineStr">
        <is>
          <t>ⓘ  Type your Target and your planned $/month (gold). The progress, the amount you still need each month, and the projected finish all calculate themselves.</t>
        </is>
      </c>
      <c r="K17" s="1" t="n"/>
      <c r="L17" s="1" t="n"/>
      <c r="M17" s="1" t="n"/>
      <c r="N17" s="1" t="n"/>
      <c r="O17" s="1" t="n"/>
      <c r="P17" s="1" t="n"/>
    </row>
    <row r="18">
      <c r="A18" s="1" t="n"/>
      <c r="B18" s="104" t="inlineStr">
        <is>
          <t>Goal</t>
        </is>
      </c>
      <c r="C18" s="105" t="inlineStr">
        <is>
          <t>Target</t>
        </is>
      </c>
      <c r="D18" s="105" t="inlineStr">
        <is>
          <t>Saved now</t>
        </is>
      </c>
      <c r="E18" s="105" t="inlineStr">
        <is>
          <t>Plan $/mo</t>
        </is>
      </c>
      <c r="F18" s="105" t="inlineStr">
        <is>
          <t>Progress</t>
        </is>
      </c>
      <c r="G18" s="105" t="inlineStr">
        <is>
          <t>Need $/mo</t>
        </is>
      </c>
      <c r="H18" s="105" t="inlineStr">
        <is>
          <t>Finish by</t>
        </is>
      </c>
      <c r="I18" s="105" t="inlineStr">
        <is>
          <t>On track?</t>
        </is>
      </c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07" t="inlineStr">
        <is>
          <t>Emergency fund (3mo $3,600 → 6mo $7,150)</t>
        </is>
      </c>
      <c r="C19" s="102" t="n">
        <v>7150</v>
      </c>
      <c r="D19" s="133">
        <f>Saven_Bal</f>
        <v/>
      </c>
      <c r="E19" s="102" t="n">
        <v>200</v>
      </c>
      <c r="F19" s="134">
        <f>D19/C19</f>
        <v/>
      </c>
      <c r="G19" s="135">
        <f>"—"</f>
        <v/>
      </c>
      <c r="H19" s="136">
        <f>IF(E19&lt;=0,"add plan",EDATE(TODAY(),ROUNDUP((C19-D19)/E19,0)))</f>
        <v/>
      </c>
      <c r="I19" s="137">
        <f>IF(D19&gt;=C19,"Done",IF(D19&gt;=3600,"6mo next","build 3mo"))</f>
        <v/>
      </c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14" t="inlineStr">
        <is>
          <t>$7,000 total savings by Dec 2026</t>
        </is>
      </c>
      <c r="C20" s="102" t="n">
        <v>7000</v>
      </c>
      <c r="D20" s="138">
        <f>Sav_Total</f>
        <v/>
      </c>
      <c r="E20" s="102" t="n">
        <v>300</v>
      </c>
      <c r="F20" s="139">
        <f>D20/C20</f>
        <v/>
      </c>
      <c r="G20" s="140">
        <f>MAX(0,(C20-D20)/MAX(1,DATEDIF(TODAY(),DATE(2026,12,1),"m")))</f>
        <v/>
      </c>
      <c r="H20" s="141">
        <f>DATE(2026,12,1)</f>
        <v/>
      </c>
      <c r="I20" s="142">
        <f>IF(D20+E20*MAX(1,DATEDIF(TODAY(),DATE(2026,12,1),"m"))&gt;=C20,"Yes","No")</f>
        <v/>
      </c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07" t="inlineStr">
        <is>
          <t>India trip fund (~Jan 2027)</t>
        </is>
      </c>
      <c r="C21" s="102" t="n">
        <v>5000</v>
      </c>
      <c r="D21" s="102" t="n">
        <v>0</v>
      </c>
      <c r="E21" s="102" t="n">
        <v>150</v>
      </c>
      <c r="F21" s="134">
        <f>D21/C21</f>
        <v/>
      </c>
      <c r="G21" s="143">
        <f>MAX(0,(C21-D21)/MAX(1,DATEDIF(TODAY(),DATE(2027,1,1),"m")))</f>
        <v/>
      </c>
      <c r="H21" s="136">
        <f>DATE(2027,1,1)</f>
        <v/>
      </c>
      <c r="I21" s="137">
        <f>IF(D21+E21*MAX(1,DATEDIF(TODAY(),DATE(2027,1,1),"m"))&gt;=C21,"On track","Behind")</f>
        <v/>
      </c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1" t="inlineStr">
        <is>
          <t>WHERE YOUR SAVINGS SIT</t>
        </is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06" t="inlineStr">
        <is>
          <t>helper</t>
        </is>
      </c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47" t="inlineStr">
        <is>
          <t>Saven (emergency)</t>
        </is>
      </c>
      <c r="C56" s="48">
        <f>Saven_Bal</f>
        <v/>
      </c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47" t="inlineStr">
        <is>
          <t>WS TFSA (long-term)</t>
        </is>
      </c>
      <c r="C57" s="48">
        <f>WS_TFSA</f>
        <v/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47" t="inlineStr">
        <is>
          <t>WS HISA</t>
        </is>
      </c>
      <c r="C58" s="48">
        <f>WS_HISA</f>
        <v/>
      </c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47" t="inlineStr">
        <is>
          <t>RBC chequing</t>
        </is>
      </c>
      <c r="C59" s="48">
        <f>RBC_Chq</f>
        <v/>
      </c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</sheetData>
  <mergeCells count="15">
    <mergeCell ref="B24:G24"/>
    <mergeCell ref="C2:K2"/>
    <mergeCell ref="F11:G11"/>
    <mergeCell ref="F12:G12"/>
    <mergeCell ref="B13"/>
    <mergeCell ref="B5:G5"/>
    <mergeCell ref="F10:G10"/>
    <mergeCell ref="B6:I6"/>
    <mergeCell ref="B16:I16"/>
    <mergeCell ref="B17:J17"/>
    <mergeCell ref="C3:K3"/>
    <mergeCell ref="D13:G13"/>
    <mergeCell ref="F9:G9"/>
    <mergeCell ref="F7:G7"/>
    <mergeCell ref="F8:G8"/>
  </mergeCells>
  <conditionalFormatting sqref="F19">
    <cfRule type="dataBar" priority="1">
      <dataBar showValue="1">
        <cfvo type="num" val="0"/>
        <cfvo type="num" val="1"/>
        <color rgb="001FB593"/>
      </dataBar>
    </cfRule>
  </conditionalFormatting>
  <conditionalFormatting sqref="F20">
    <cfRule type="dataBar" priority="2">
      <dataBar showValue="1">
        <cfvo type="num" val="0"/>
        <cfvo type="num" val="1"/>
        <color rgb="001FB593"/>
      </dataBar>
    </cfRule>
  </conditionalFormatting>
  <conditionalFormatting sqref="F21">
    <cfRule type="dataBar" priority="3">
      <dataBar showValue="1">
        <cfvo type="num" val="0"/>
        <cfvo type="num" val="1"/>
        <color rgb="001FB593"/>
      </dataBar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5B93FF"/>
    <outlinePr summaryBelow="1" summaryRight="1"/>
    <pageSetUpPr fitToPage="1"/>
  </sheetPr>
  <dimension ref="A1:T66"/>
  <sheetViews>
    <sheetView showGridLines="0" zoomScale="100" workbookViewId="0">
      <selection activeCell="A1" sqref="A1"/>
    </sheetView>
  </sheetViews>
  <sheetFormatPr baseColWidth="8" defaultRowHeight="15"/>
  <cols>
    <col width="2.6" customWidth="1" min="1" max="1"/>
    <col width="9.199999999999999" customWidth="1" min="2" max="2"/>
    <col width="9.199999999999999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9.199999999999999" customWidth="1" min="9" max="9"/>
    <col width="9.199999999999999" customWidth="1" min="10" max="10"/>
    <col width="9.199999999999999" customWidth="1" min="11" max="11"/>
    <col width="9.199999999999999" customWidth="1" min="12" max="12"/>
    <col width="9.199999999999999" customWidth="1" min="13" max="13"/>
    <col width="9.199999999999999" customWidth="1" min="14" max="14"/>
    <col width="9.199999999999999" customWidth="1" min="15" max="15"/>
    <col width="9.199999999999999" customWidth="1" min="16" max="16"/>
    <col width="9.199999999999999" customWidth="1" min="17" max="17"/>
    <col width="9.199999999999999" customWidth="1" min="18" max="18"/>
    <col width="9.199999999999999" customWidth="1" min="19" max="19"/>
    <col width="9.199999999999999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144" t="inlineStr"/>
      <c r="C2" s="3" t="inlineStr">
        <is>
          <t>NET WORTH TRACKER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1" t="n"/>
      <c r="C3" s="4" t="inlineStr">
        <is>
          <t>Everything you own minus everything you owe. It updates from your other sheets.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n"/>
      <c r="B4" s="5" t="n"/>
      <c r="C4" s="5" t="n"/>
      <c r="D4" s="5" t="n"/>
      <c r="E4" s="5" t="n"/>
      <c r="F4" s="5" t="n"/>
      <c r="G4" s="29" t="n"/>
      <c r="H4" s="29" t="n"/>
      <c r="I4" s="29" t="n"/>
      <c r="J4" s="29" t="n"/>
      <c r="K4" s="29" t="n"/>
      <c r="L4" s="27" t="n"/>
      <c r="M4" s="27" t="n"/>
      <c r="N4" s="27" t="n"/>
      <c r="O4" s="27" t="n"/>
      <c r="P4" s="27" t="n"/>
      <c r="Q4" s="1" t="n"/>
      <c r="R4" s="1" t="n"/>
      <c r="S4" s="1" t="n"/>
      <c r="T4" s="1" t="n"/>
    </row>
    <row r="5">
      <c r="A5" s="1" t="n"/>
      <c r="B5" s="30" t="inlineStr">
        <is>
          <t>TOTAL NET WORTH</t>
        </is>
      </c>
      <c r="G5" s="34" t="inlineStr">
        <is>
          <t>NET WORTH GOAL</t>
        </is>
      </c>
      <c r="L5" s="32" t="inlineStr">
        <is>
          <t>AMOUNT TO GOAL</t>
        </is>
      </c>
      <c r="Q5" s="1" t="n"/>
      <c r="R5" s="1" t="n"/>
      <c r="S5" s="1" t="n"/>
      <c r="T5" s="1" t="n"/>
    </row>
    <row r="6">
      <c r="A6" s="1" t="n"/>
      <c r="B6" s="35">
        <f>Sav_Total-(India_CAD+Avion_Bal)</f>
        <v/>
      </c>
      <c r="G6" s="35">
        <f>NW_Goal</f>
        <v/>
      </c>
      <c r="L6" s="35">
        <f>NW_Goal-(Sav_Total-(India_CAD+Avion_Bal))</f>
        <v/>
      </c>
      <c r="Q6" s="1" t="n"/>
      <c r="R6" s="1" t="n"/>
      <c r="S6" s="1" t="n"/>
      <c r="T6" s="1" t="n"/>
    </row>
    <row r="7">
      <c r="A7" s="1" t="n"/>
      <c r="Q7" s="1" t="n"/>
      <c r="R7" s="1" t="n"/>
      <c r="S7" s="1" t="n"/>
      <c r="T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49" t="inlineStr">
        <is>
          <t>Set your custom net worth goal →</t>
        </is>
      </c>
      <c r="C9" s="1" t="n"/>
      <c r="D9" s="1" t="n"/>
      <c r="E9" s="102" t="n">
        <v>25000</v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1" t="inlineStr">
        <is>
          <t>NET WORTH OVER TIME</t>
        </is>
      </c>
      <c r="J12" s="1" t="n"/>
      <c r="K12" s="97" t="inlineStr">
        <is>
          <t>ASSETS DISTRIBUTION</t>
        </is>
      </c>
      <c r="P12" s="1" t="n"/>
      <c r="Q12" s="1" t="n"/>
      <c r="R12" s="1" t="n"/>
      <c r="S12" s="1" t="n"/>
      <c r="T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11" t="inlineStr">
        <is>
          <t>ASSETS VS LIABILITIES</t>
        </is>
      </c>
      <c r="J31" s="1" t="n"/>
      <c r="K31" s="39" t="inlineStr">
        <is>
          <t>LIABILITIES DISTRIBUTION</t>
        </is>
      </c>
      <c r="P31" s="1" t="n"/>
      <c r="Q31" s="1" t="n"/>
      <c r="R31" s="1" t="n"/>
      <c r="S31" s="1" t="n"/>
      <c r="T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106" t="inlineStr">
        <is>
          <t>helper (assets vs liabilities by month)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06" t="inlineStr">
        <is>
          <t>Month</t>
        </is>
      </c>
      <c r="M51" s="106" t="inlineStr">
        <is>
          <t>Assets</t>
        </is>
      </c>
      <c r="N51" s="106" t="inlineStr">
        <is>
          <t>Liabilities</t>
        </is>
      </c>
      <c r="O51" s="106" t="inlineStr">
        <is>
          <t>Net worth</t>
        </is>
      </c>
      <c r="P51" s="1" t="n"/>
      <c r="Q51" s="1" t="n"/>
      <c r="R51" s="1" t="n"/>
      <c r="S51" s="1" t="n"/>
      <c r="T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45">
        <f>MonthData!B2</f>
        <v/>
      </c>
      <c r="M52" s="146">
        <f>Sav_Total+MonthData!L2</f>
        <v/>
      </c>
      <c r="N52" s="147">
        <f>MAX(0,(India_CAD+Avion_Bal)-India_Pay*1)</f>
        <v/>
      </c>
      <c r="O52" s="148">
        <f>M52-N52</f>
        <v/>
      </c>
      <c r="P52" s="1" t="n"/>
      <c r="Q52" s="1" t="n"/>
      <c r="R52" s="1" t="n"/>
      <c r="S52" s="1" t="n"/>
      <c r="T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45">
        <f>MonthData!B3</f>
        <v/>
      </c>
      <c r="M53" s="146">
        <f>Sav_Total+MonthData!L3</f>
        <v/>
      </c>
      <c r="N53" s="147">
        <f>MAX(0,(India_CAD+Avion_Bal)-India_Pay*2)</f>
        <v/>
      </c>
      <c r="O53" s="148">
        <f>M53-N53</f>
        <v/>
      </c>
      <c r="P53" s="1" t="n"/>
      <c r="Q53" s="1" t="n"/>
      <c r="R53" s="1" t="n"/>
      <c r="S53" s="1" t="n"/>
      <c r="T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45">
        <f>MonthData!B4</f>
        <v/>
      </c>
      <c r="M54" s="146">
        <f>Sav_Total+MonthData!L4</f>
        <v/>
      </c>
      <c r="N54" s="147">
        <f>MAX(0,(India_CAD+Avion_Bal)-India_Pay*3)</f>
        <v/>
      </c>
      <c r="O54" s="148">
        <f>M54-N54</f>
        <v/>
      </c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45">
        <f>MonthData!B5</f>
        <v/>
      </c>
      <c r="M55" s="146">
        <f>Sav_Total+MonthData!L5</f>
        <v/>
      </c>
      <c r="N55" s="147">
        <f>MAX(0,(India_CAD+Avion_Bal)-India_Pay*4)</f>
        <v/>
      </c>
      <c r="O55" s="148">
        <f>M55-N55</f>
        <v/>
      </c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45">
        <f>MonthData!B6</f>
        <v/>
      </c>
      <c r="M56" s="146">
        <f>Sav_Total+MonthData!L6</f>
        <v/>
      </c>
      <c r="N56" s="147">
        <f>MAX(0,(India_CAD+Avion_Bal)-India_Pay*5)</f>
        <v/>
      </c>
      <c r="O56" s="148">
        <f>M56-N56</f>
        <v/>
      </c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45">
        <f>MonthData!B7</f>
        <v/>
      </c>
      <c r="M57" s="146">
        <f>Sav_Total+MonthData!L7</f>
        <v/>
      </c>
      <c r="N57" s="147">
        <f>MAX(0,(India_CAD+Avion_Bal)-India_Pay*6)</f>
        <v/>
      </c>
      <c r="O57" s="148">
        <f>M57-N57</f>
        <v/>
      </c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45">
        <f>MonthData!B8</f>
        <v/>
      </c>
      <c r="M58" s="146">
        <f>Sav_Total+MonthData!L8</f>
        <v/>
      </c>
      <c r="N58" s="147">
        <f>MAX(0,(India_CAD+Avion_Bal)-India_Pay*7)</f>
        <v/>
      </c>
      <c r="O58" s="148">
        <f>M58-N58</f>
        <v/>
      </c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45">
        <f>MonthData!B9</f>
        <v/>
      </c>
      <c r="M59" s="146">
        <f>Sav_Total+MonthData!L9</f>
        <v/>
      </c>
      <c r="N59" s="147">
        <f>MAX(0,(India_CAD+Avion_Bal)-India_Pay*8)</f>
        <v/>
      </c>
      <c r="O59" s="148">
        <f>M59-N59</f>
        <v/>
      </c>
      <c r="P59" s="1" t="n"/>
      <c r="Q59" s="1" t="n"/>
      <c r="R59" s="1" t="n"/>
      <c r="S59" s="1" t="n"/>
      <c r="T59" s="1" t="n"/>
    </row>
    <row r="60">
      <c r="A60" s="1" t="n"/>
      <c r="B60" s="145" t="inlineStr">
        <is>
          <t>Saven</t>
        </is>
      </c>
      <c r="C60" s="149">
        <f>Saven_Bal</f>
        <v/>
      </c>
      <c r="D60" s="1" t="n"/>
      <c r="E60" s="145" t="inlineStr">
        <is>
          <t>India loan</t>
        </is>
      </c>
      <c r="F60" s="149">
        <f>India_CAD</f>
        <v/>
      </c>
      <c r="G60" s="1" t="n"/>
      <c r="H60" s="1" t="n"/>
      <c r="I60" s="1" t="n"/>
      <c r="J60" s="1" t="n"/>
      <c r="K60" s="1" t="n"/>
      <c r="L60" s="145">
        <f>MonthData!B10</f>
        <v/>
      </c>
      <c r="M60" s="146">
        <f>Sav_Total+MonthData!L10</f>
        <v/>
      </c>
      <c r="N60" s="147">
        <f>MAX(0,(India_CAD+Avion_Bal)-India_Pay*9)</f>
        <v/>
      </c>
      <c r="O60" s="148">
        <f>M60-N60</f>
        <v/>
      </c>
      <c r="P60" s="1" t="n"/>
      <c r="Q60" s="1" t="n"/>
      <c r="R60" s="1" t="n"/>
      <c r="S60" s="1" t="n"/>
      <c r="T60" s="1" t="n"/>
    </row>
    <row r="61">
      <c r="A61" s="1" t="n"/>
      <c r="B61" s="145" t="inlineStr">
        <is>
          <t>WS TFSA</t>
        </is>
      </c>
      <c r="C61" s="149">
        <f>WS_TFSA</f>
        <v/>
      </c>
      <c r="D61" s="1" t="n"/>
      <c r="E61" s="145" t="inlineStr">
        <is>
          <t>Avion card</t>
        </is>
      </c>
      <c r="F61" s="149">
        <f>Avion_Bal</f>
        <v/>
      </c>
      <c r="G61" s="1" t="n"/>
      <c r="H61" s="1" t="n"/>
      <c r="I61" s="1" t="n"/>
      <c r="J61" s="1" t="n"/>
      <c r="K61" s="1" t="n"/>
      <c r="L61" s="145">
        <f>MonthData!B11</f>
        <v/>
      </c>
      <c r="M61" s="146">
        <f>Sav_Total+MonthData!L11</f>
        <v/>
      </c>
      <c r="N61" s="147">
        <f>MAX(0,(India_CAD+Avion_Bal)-India_Pay*10)</f>
        <v/>
      </c>
      <c r="O61" s="148">
        <f>M61-N61</f>
        <v/>
      </c>
      <c r="P61" s="1" t="n"/>
      <c r="Q61" s="1" t="n"/>
      <c r="R61" s="1" t="n"/>
      <c r="S61" s="1" t="n"/>
      <c r="T61" s="1" t="n"/>
    </row>
    <row r="62">
      <c r="A62" s="1" t="n"/>
      <c r="B62" s="145" t="inlineStr">
        <is>
          <t>RBC chequing</t>
        </is>
      </c>
      <c r="C62" s="149">
        <f>RBC_Chq</f>
        <v/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145">
        <f>MonthData!B12</f>
        <v/>
      </c>
      <c r="M62" s="146">
        <f>Sav_Total+MonthData!L12</f>
        <v/>
      </c>
      <c r="N62" s="147">
        <f>MAX(0,(India_CAD+Avion_Bal)-India_Pay*11)</f>
        <v/>
      </c>
      <c r="O62" s="148">
        <f>M62-N62</f>
        <v/>
      </c>
      <c r="P62" s="1" t="n"/>
      <c r="Q62" s="1" t="n"/>
      <c r="R62" s="1" t="n"/>
      <c r="S62" s="1" t="n"/>
      <c r="T62" s="1" t="n"/>
    </row>
    <row r="63">
      <c r="A63" s="1" t="n"/>
      <c r="B63" s="145" t="inlineStr">
        <is>
          <t>WS HISA</t>
        </is>
      </c>
      <c r="C63" s="149">
        <f>WS_HISA</f>
        <v/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45">
        <f>MonthData!B13</f>
        <v/>
      </c>
      <c r="M63" s="146">
        <f>Sav_Total+MonthData!L13</f>
        <v/>
      </c>
      <c r="N63" s="147">
        <f>MAX(0,(India_CAD+Avion_Bal)-India_Pay*12)</f>
        <v/>
      </c>
      <c r="O63" s="148">
        <f>M63-N63</f>
        <v/>
      </c>
      <c r="P63" s="1" t="n"/>
      <c r="Q63" s="1" t="n"/>
      <c r="R63" s="1" t="n"/>
      <c r="S63" s="1" t="n"/>
      <c r="T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</row>
  </sheetData>
  <mergeCells count="12">
    <mergeCell ref="B12:I12"/>
    <mergeCell ref="C2:K2"/>
    <mergeCell ref="K12:O12"/>
    <mergeCell ref="B31:I31"/>
    <mergeCell ref="G6:K7"/>
    <mergeCell ref="B5:F5"/>
    <mergeCell ref="L6:P7"/>
    <mergeCell ref="C3:K3"/>
    <mergeCell ref="G5:K5"/>
    <mergeCell ref="B6:F7"/>
    <mergeCell ref="L5:P5"/>
    <mergeCell ref="K31:O3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B084F5"/>
    <outlinePr summaryBelow="1" summaryRight="1"/>
    <pageSetUpPr fitToPage="1"/>
  </sheetPr>
  <dimension ref="A1:R78"/>
  <sheetViews>
    <sheetView showGridLines="0" zoomScale="105" workbookViewId="0">
      <selection activeCell="A1" sqref="A1"/>
    </sheetView>
  </sheetViews>
  <sheetFormatPr baseColWidth="8" defaultRowHeight="15"/>
  <cols>
    <col width="2.6" customWidth="1" min="1" max="1"/>
    <col width="14" customWidth="1" min="2" max="2"/>
    <col width="22" customWidth="1" min="3" max="3"/>
    <col width="20" customWidth="1" min="4" max="4"/>
    <col width="14" customWidth="1" min="5" max="5"/>
    <col width="3" customWidth="1" min="6" max="6"/>
    <col width="14" customWidth="1" min="7" max="7"/>
    <col width="22" customWidth="1" min="8" max="8"/>
    <col width="20" customWidth="1" min="9" max="9"/>
    <col width="14" customWidth="1" min="10" max="10"/>
    <col width="3" customWidth="1" min="11" max="11"/>
    <col width="12" customWidth="1" min="12" max="12"/>
    <col width="13" customWidth="1" min="13" max="13"/>
    <col width="13" customWidth="1" min="14" max="14"/>
    <col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150" t="inlineStr"/>
      <c r="C2" s="3" t="inlineStr">
        <is>
          <t>SIDE INCOME</t>
        </is>
      </c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1" t="n"/>
      <c r="C3" s="4" t="inlineStr">
        <is>
          <t>Freelance &amp; content income — set up and ready for when you start earning.</t>
        </is>
      </c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5" t="n"/>
      <c r="C4" s="5" t="n"/>
      <c r="D4" s="5" t="n"/>
      <c r="E4" s="5" t="n"/>
      <c r="F4" s="26" t="n"/>
      <c r="G4" s="26" t="n"/>
      <c r="H4" s="26" t="n"/>
      <c r="I4" s="26" t="n"/>
      <c r="J4" s="28" t="n"/>
      <c r="K4" s="28" t="n"/>
      <c r="L4" s="28" t="n"/>
      <c r="M4" s="28" t="n"/>
      <c r="N4" s="1" t="n"/>
      <c r="O4" s="1" t="n"/>
      <c r="P4" s="1" t="n"/>
      <c r="Q4" s="1" t="n"/>
      <c r="R4" s="1" t="n"/>
    </row>
    <row r="5">
      <c r="A5" s="1" t="n"/>
      <c r="B5" s="30" t="inlineStr">
        <is>
          <t>TOTAL SIDE INCOME</t>
        </is>
      </c>
      <c r="F5" s="31" t="inlineStr">
        <is>
          <t>TOTAL SIDE EXPENSES</t>
        </is>
      </c>
      <c r="J5" s="33" t="inlineStr">
        <is>
          <t>NET PROFIT</t>
        </is>
      </c>
      <c r="N5" s="1" t="n"/>
      <c r="O5" s="1" t="n"/>
      <c r="P5" s="1" t="n"/>
      <c r="Q5" s="1" t="n"/>
      <c r="R5" s="1" t="n"/>
    </row>
    <row r="6">
      <c r="A6" s="1" t="n"/>
      <c r="B6" s="35">
        <f>SUM(Side_Inc_Amt)</f>
        <v/>
      </c>
      <c r="F6" s="35">
        <f>SUM(Side_Exp_Amt)</f>
        <v/>
      </c>
      <c r="J6" s="35">
        <f>SUM(Side_Inc_Amt)-SUM(Side_Exp_Amt)</f>
        <v/>
      </c>
      <c r="N6" s="1" t="n"/>
      <c r="O6" s="1" t="n"/>
      <c r="P6" s="1" t="n"/>
      <c r="Q6" s="1" t="n"/>
      <c r="R6" s="1" t="n"/>
    </row>
    <row r="7">
      <c r="A7" s="1" t="n"/>
      <c r="N7" s="1" t="n"/>
      <c r="O7" s="1" t="n"/>
      <c r="P7" s="1" t="n"/>
      <c r="Q7" s="1" t="n"/>
      <c r="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n"/>
      <c r="B9" s="11" t="inlineStr">
        <is>
          <t>INCOME LOG</t>
        </is>
      </c>
      <c r="F9" s="1" t="n"/>
      <c r="G9" s="39" t="inlineStr">
        <is>
          <t>EXPENSE LOG</t>
        </is>
      </c>
      <c r="K9" s="1" t="n"/>
      <c r="L9" s="1" t="n"/>
      <c r="M9" s="1" t="n"/>
      <c r="N9" s="1" t="n"/>
      <c r="O9" s="1" t="n"/>
      <c r="P9" s="1" t="n"/>
      <c r="Q9" s="1" t="n"/>
      <c r="R9" s="1" t="n"/>
    </row>
    <row r="10" ht="22" customHeight="1">
      <c r="A10" s="1" t="n"/>
      <c r="B10" s="45" t="inlineStr">
        <is>
          <t>ⓘ  Log every paid gig here. Pick a category from the dropdown.</t>
        </is>
      </c>
      <c r="F10" s="1" t="n"/>
      <c r="G10" s="45" t="inlineStr">
        <is>
          <t>ⓘ  Costs tied to this work — software, gear, subscriptions.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63" t="inlineStr">
        <is>
          <t>Date</t>
        </is>
      </c>
      <c r="C11" s="64" t="inlineStr">
        <is>
          <t>Client / Source</t>
        </is>
      </c>
      <c r="D11" s="64" t="inlineStr">
        <is>
          <t>Category</t>
        </is>
      </c>
      <c r="E11" s="64" t="inlineStr">
        <is>
          <t>Amount</t>
        </is>
      </c>
      <c r="F11" s="1" t="n"/>
      <c r="G11" s="63" t="inlineStr">
        <is>
          <t>Date</t>
        </is>
      </c>
      <c r="H11" s="64" t="inlineStr">
        <is>
          <t>Description</t>
        </is>
      </c>
      <c r="I11" s="64" t="inlineStr">
        <is>
          <t>Category</t>
        </is>
      </c>
      <c r="J11" s="64" t="inlineStr">
        <is>
          <t>Amount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67" t="n"/>
      <c r="C12" s="68" t="n"/>
      <c r="D12" s="68" t="n"/>
      <c r="E12" s="50" t="n"/>
      <c r="F12" s="1" t="n"/>
      <c r="G12" s="67" t="n"/>
      <c r="H12" s="68" t="n"/>
      <c r="I12" s="68" t="n"/>
      <c r="J12" s="50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67" t="n"/>
      <c r="C13" s="68" t="n"/>
      <c r="D13" s="68" t="n"/>
      <c r="E13" s="50" t="n"/>
      <c r="F13" s="1" t="n"/>
      <c r="G13" s="67" t="n"/>
      <c r="H13" s="68" t="n"/>
      <c r="I13" s="68" t="n"/>
      <c r="J13" s="50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67" t="n"/>
      <c r="C14" s="68" t="n"/>
      <c r="D14" s="68" t="n"/>
      <c r="E14" s="50" t="n"/>
      <c r="F14" s="1" t="n"/>
      <c r="G14" s="67" t="n"/>
      <c r="H14" s="68" t="n"/>
      <c r="I14" s="68" t="n"/>
      <c r="J14" s="50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67" t="n"/>
      <c r="C15" s="68" t="n"/>
      <c r="D15" s="68" t="n"/>
      <c r="E15" s="50" t="n"/>
      <c r="F15" s="1" t="n"/>
      <c r="G15" s="67" t="n"/>
      <c r="H15" s="68" t="n"/>
      <c r="I15" s="68" t="n"/>
      <c r="J15" s="50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67" t="n"/>
      <c r="C16" s="68" t="n"/>
      <c r="D16" s="68" t="n"/>
      <c r="E16" s="50" t="n"/>
      <c r="F16" s="1" t="n"/>
      <c r="G16" s="67" t="n"/>
      <c r="H16" s="68" t="n"/>
      <c r="I16" s="68" t="n"/>
      <c r="J16" s="50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67" t="n"/>
      <c r="C17" s="68" t="n"/>
      <c r="D17" s="68" t="n"/>
      <c r="E17" s="50" t="n"/>
      <c r="F17" s="1" t="n"/>
      <c r="G17" s="67" t="n"/>
      <c r="H17" s="68" t="n"/>
      <c r="I17" s="68" t="n"/>
      <c r="J17" s="50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67" t="n"/>
      <c r="C18" s="68" t="n"/>
      <c r="D18" s="68" t="n"/>
      <c r="E18" s="50" t="n"/>
      <c r="F18" s="1" t="n"/>
      <c r="G18" s="67" t="n"/>
      <c r="H18" s="68" t="n"/>
      <c r="I18" s="68" t="n"/>
      <c r="J18" s="50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67" t="n"/>
      <c r="C19" s="68" t="n"/>
      <c r="D19" s="68" t="n"/>
      <c r="E19" s="50" t="n"/>
      <c r="F19" s="1" t="n"/>
      <c r="G19" s="67" t="n"/>
      <c r="H19" s="68" t="n"/>
      <c r="I19" s="68" t="n"/>
      <c r="J19" s="50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67" t="n"/>
      <c r="C20" s="68" t="n"/>
      <c r="D20" s="68" t="n"/>
      <c r="E20" s="50" t="n"/>
      <c r="F20" s="1" t="n"/>
      <c r="G20" s="67" t="n"/>
      <c r="H20" s="68" t="n"/>
      <c r="I20" s="68" t="n"/>
      <c r="J20" s="50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67" t="n"/>
      <c r="C21" s="68" t="n"/>
      <c r="D21" s="68" t="n"/>
      <c r="E21" s="50" t="n"/>
      <c r="F21" s="1" t="n"/>
      <c r="G21" s="67" t="n"/>
      <c r="H21" s="68" t="n"/>
      <c r="I21" s="68" t="n"/>
      <c r="J21" s="50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67" t="n"/>
      <c r="C22" s="68" t="n"/>
      <c r="D22" s="68" t="n"/>
      <c r="E22" s="50" t="n"/>
      <c r="F22" s="1" t="n"/>
      <c r="G22" s="67" t="n"/>
      <c r="H22" s="68" t="n"/>
      <c r="I22" s="68" t="n"/>
      <c r="J22" s="50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67" t="n"/>
      <c r="C23" s="68" t="n"/>
      <c r="D23" s="68" t="n"/>
      <c r="E23" s="50" t="n"/>
      <c r="F23" s="1" t="n"/>
      <c r="G23" s="67" t="n"/>
      <c r="H23" s="68" t="n"/>
      <c r="I23" s="68" t="n"/>
      <c r="J23" s="50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67" t="n"/>
      <c r="C24" s="68" t="n"/>
      <c r="D24" s="68" t="n"/>
      <c r="E24" s="50" t="n"/>
      <c r="F24" s="1" t="n"/>
      <c r="G24" s="67" t="n"/>
      <c r="H24" s="68" t="n"/>
      <c r="I24" s="68" t="n"/>
      <c r="J24" s="50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67" t="n"/>
      <c r="C25" s="68" t="n"/>
      <c r="D25" s="68" t="n"/>
      <c r="E25" s="50" t="n"/>
      <c r="F25" s="1" t="n"/>
      <c r="G25" s="67" t="n"/>
      <c r="H25" s="68" t="n"/>
      <c r="I25" s="68" t="n"/>
      <c r="J25" s="50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 ht="22" customHeight="1">
      <c r="A26" s="1" t="n"/>
      <c r="B26" s="151" t="inlineStr">
        <is>
          <t>ⓘ  This sheet sits mostly empty until you start earning — that's fine, it's ready to go.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23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67" t="n"/>
      <c r="C27" s="68" t="n"/>
      <c r="D27" s="68" t="n"/>
      <c r="E27" s="50" t="n"/>
      <c r="F27" s="1" t="n"/>
      <c r="G27" s="67" t="n"/>
      <c r="H27" s="68" t="n"/>
      <c r="I27" s="68" t="n"/>
      <c r="J27" s="50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67" t="n"/>
      <c r="C28" s="68" t="n"/>
      <c r="D28" s="68" t="n"/>
      <c r="E28" s="50" t="n"/>
      <c r="F28" s="1" t="n"/>
      <c r="G28" s="67" t="n"/>
      <c r="H28" s="68" t="n"/>
      <c r="I28" s="68" t="n"/>
      <c r="J28" s="50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67" t="n"/>
      <c r="C29" s="68" t="n"/>
      <c r="D29" s="68" t="n"/>
      <c r="E29" s="50" t="n"/>
      <c r="F29" s="1" t="n"/>
      <c r="G29" s="67" t="n"/>
      <c r="H29" s="68" t="n"/>
      <c r="I29" s="68" t="n"/>
      <c r="J29" s="50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67" t="n"/>
      <c r="C30" s="68" t="n"/>
      <c r="D30" s="68" t="n"/>
      <c r="E30" s="50" t="n"/>
      <c r="F30" s="1" t="n"/>
      <c r="G30" s="67" t="n"/>
      <c r="H30" s="68" t="n"/>
      <c r="I30" s="68" t="n"/>
      <c r="J30" s="50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67" t="n"/>
      <c r="C31" s="68" t="n"/>
      <c r="D31" s="68" t="n"/>
      <c r="E31" s="50" t="n"/>
      <c r="F31" s="1" t="n"/>
      <c r="G31" s="67" t="n"/>
      <c r="H31" s="68" t="n"/>
      <c r="I31" s="68" t="n"/>
      <c r="J31" s="50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67" t="n"/>
      <c r="C32" s="68" t="n"/>
      <c r="D32" s="68" t="n"/>
      <c r="E32" s="50" t="n"/>
      <c r="F32" s="1" t="n"/>
      <c r="G32" s="67" t="n"/>
      <c r="H32" s="68" t="n"/>
      <c r="I32" s="68" t="n"/>
      <c r="J32" s="50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67" t="n"/>
      <c r="C33" s="68" t="n"/>
      <c r="D33" s="68" t="n"/>
      <c r="E33" s="50" t="n"/>
      <c r="F33" s="1" t="n"/>
      <c r="G33" s="67" t="n"/>
      <c r="H33" s="68" t="n"/>
      <c r="I33" s="68" t="n"/>
      <c r="J33" s="50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61" t="inlineStr">
        <is>
          <t>TOTAL INCOME</t>
        </is>
      </c>
      <c r="E34" s="69">
        <f>SUM(E12:E33)</f>
        <v/>
      </c>
      <c r="F34" s="1" t="n"/>
      <c r="G34" s="73" t="inlineStr">
        <is>
          <t>TOTAL EXPENSES</t>
        </is>
      </c>
      <c r="J34" s="74">
        <f>SUM(J12:J33)</f>
        <v/>
      </c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53" t="inlineStr">
        <is>
          <t>MONTHLY SUMMARY</t>
        </is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04" t="inlineStr">
        <is>
          <t>Month</t>
        </is>
      </c>
      <c r="M37" s="105" t="inlineStr">
        <is>
          <t>Income</t>
        </is>
      </c>
      <c r="N37" s="105" t="inlineStr">
        <is>
          <t>Expense</t>
        </is>
      </c>
      <c r="O37" s="105" t="inlineStr">
        <is>
          <t>Profit</t>
        </is>
      </c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54" t="n">
        <v>46174</v>
      </c>
      <c r="M38" s="155">
        <f>SUMIFS(Side_Inc_Amt,Side_Inc_Date,"&gt;="&amp;L38,Side_Inc_Date,"&lt;"&amp;EDATE(L38,1))</f>
        <v/>
      </c>
      <c r="N38" s="156">
        <f>SUMIFS(Side_Exp_Amt,Side_Exp_Date,"&gt;="&amp;L38,Side_Exp_Date,"&lt;"&amp;EDATE(L38,1))</f>
        <v/>
      </c>
      <c r="O38" s="157">
        <f>M38-N38</f>
        <v/>
      </c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58" t="n">
        <v>46204</v>
      </c>
      <c r="M39" s="159">
        <f>SUMIFS(Side_Inc_Amt,Side_Inc_Date,"&gt;="&amp;L39,Side_Inc_Date,"&lt;"&amp;EDATE(L39,1))</f>
        <v/>
      </c>
      <c r="N39" s="160">
        <f>SUMIFS(Side_Exp_Amt,Side_Exp_Date,"&gt;="&amp;L39,Side_Exp_Date,"&lt;"&amp;EDATE(L39,1))</f>
        <v/>
      </c>
      <c r="O39" s="161">
        <f>M39-N39</f>
        <v/>
      </c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54" t="n">
        <v>46235</v>
      </c>
      <c r="M40" s="155">
        <f>SUMIFS(Side_Inc_Amt,Side_Inc_Date,"&gt;="&amp;L40,Side_Inc_Date,"&lt;"&amp;EDATE(L40,1))</f>
        <v/>
      </c>
      <c r="N40" s="156">
        <f>SUMIFS(Side_Exp_Amt,Side_Exp_Date,"&gt;="&amp;L40,Side_Exp_Date,"&lt;"&amp;EDATE(L40,1))</f>
        <v/>
      </c>
      <c r="O40" s="157">
        <f>M40-N40</f>
        <v/>
      </c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58" t="n">
        <v>46266</v>
      </c>
      <c r="M41" s="159">
        <f>SUMIFS(Side_Inc_Amt,Side_Inc_Date,"&gt;="&amp;L41,Side_Inc_Date,"&lt;"&amp;EDATE(L41,1))</f>
        <v/>
      </c>
      <c r="N41" s="160">
        <f>SUMIFS(Side_Exp_Amt,Side_Exp_Date,"&gt;="&amp;L41,Side_Exp_Date,"&lt;"&amp;EDATE(L41,1))</f>
        <v/>
      </c>
      <c r="O41" s="161">
        <f>M41-N41</f>
        <v/>
      </c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54" t="n">
        <v>46296</v>
      </c>
      <c r="M42" s="155">
        <f>SUMIFS(Side_Inc_Amt,Side_Inc_Date,"&gt;="&amp;L42,Side_Inc_Date,"&lt;"&amp;EDATE(L42,1))</f>
        <v/>
      </c>
      <c r="N42" s="156">
        <f>SUMIFS(Side_Exp_Amt,Side_Exp_Date,"&gt;="&amp;L42,Side_Exp_Date,"&lt;"&amp;EDATE(L42,1))</f>
        <v/>
      </c>
      <c r="O42" s="157">
        <f>M42-N42</f>
        <v/>
      </c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58" t="n">
        <v>46327</v>
      </c>
      <c r="M43" s="159">
        <f>SUMIFS(Side_Inc_Amt,Side_Inc_Date,"&gt;="&amp;L43,Side_Inc_Date,"&lt;"&amp;EDATE(L43,1))</f>
        <v/>
      </c>
      <c r="N43" s="160">
        <f>SUMIFS(Side_Exp_Amt,Side_Exp_Date,"&gt;="&amp;L43,Side_Exp_Date,"&lt;"&amp;EDATE(L43,1))</f>
        <v/>
      </c>
      <c r="O43" s="161">
        <f>M43-N43</f>
        <v/>
      </c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54" t="n">
        <v>46357</v>
      </c>
      <c r="M44" s="155">
        <f>SUMIFS(Side_Inc_Amt,Side_Inc_Date,"&gt;="&amp;L44,Side_Inc_Date,"&lt;"&amp;EDATE(L44,1))</f>
        <v/>
      </c>
      <c r="N44" s="156">
        <f>SUMIFS(Side_Exp_Amt,Side_Exp_Date,"&gt;="&amp;L44,Side_Exp_Date,"&lt;"&amp;EDATE(L44,1))</f>
        <v/>
      </c>
      <c r="O44" s="157">
        <f>M44-N44</f>
        <v/>
      </c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58" t="n">
        <v>46388</v>
      </c>
      <c r="M45" s="159">
        <f>SUMIFS(Side_Inc_Amt,Side_Inc_Date,"&gt;="&amp;L45,Side_Inc_Date,"&lt;"&amp;EDATE(L45,1))</f>
        <v/>
      </c>
      <c r="N45" s="160">
        <f>SUMIFS(Side_Exp_Amt,Side_Exp_Date,"&gt;="&amp;L45,Side_Exp_Date,"&lt;"&amp;EDATE(L45,1))</f>
        <v/>
      </c>
      <c r="O45" s="161">
        <f>M45-N45</f>
        <v/>
      </c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54" t="n">
        <v>46419</v>
      </c>
      <c r="M46" s="155">
        <f>SUMIFS(Side_Inc_Amt,Side_Inc_Date,"&gt;="&amp;L46,Side_Inc_Date,"&lt;"&amp;EDATE(L46,1))</f>
        <v/>
      </c>
      <c r="N46" s="156">
        <f>SUMIFS(Side_Exp_Amt,Side_Exp_Date,"&gt;="&amp;L46,Side_Exp_Date,"&lt;"&amp;EDATE(L46,1))</f>
        <v/>
      </c>
      <c r="O46" s="157">
        <f>M46-N46</f>
        <v/>
      </c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58" t="n">
        <v>46447</v>
      </c>
      <c r="M47" s="159">
        <f>SUMIFS(Side_Inc_Amt,Side_Inc_Date,"&gt;="&amp;L47,Side_Inc_Date,"&lt;"&amp;EDATE(L47,1))</f>
        <v/>
      </c>
      <c r="N47" s="160">
        <f>SUMIFS(Side_Exp_Amt,Side_Exp_Date,"&gt;="&amp;L47,Side_Exp_Date,"&lt;"&amp;EDATE(L47,1))</f>
        <v/>
      </c>
      <c r="O47" s="161">
        <f>M47-N47</f>
        <v/>
      </c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54" t="n">
        <v>46478</v>
      </c>
      <c r="M48" s="155">
        <f>SUMIFS(Side_Inc_Amt,Side_Inc_Date,"&gt;="&amp;L48,Side_Inc_Date,"&lt;"&amp;EDATE(L48,1))</f>
        <v/>
      </c>
      <c r="N48" s="156">
        <f>SUMIFS(Side_Exp_Amt,Side_Exp_Date,"&gt;="&amp;L48,Side_Exp_Date,"&lt;"&amp;EDATE(L48,1))</f>
        <v/>
      </c>
      <c r="O48" s="157">
        <f>M48-N48</f>
        <v/>
      </c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58" t="n">
        <v>46508</v>
      </c>
      <c r="M49" s="159">
        <f>SUMIFS(Side_Inc_Amt,Side_Inc_Date,"&gt;="&amp;L49,Side_Inc_Date,"&lt;"&amp;EDATE(L49,1))</f>
        <v/>
      </c>
      <c r="N49" s="160">
        <f>SUMIFS(Side_Exp_Amt,Side_Exp_Date,"&gt;="&amp;L49,Side_Exp_Date,"&lt;"&amp;EDATE(L49,1))</f>
        <v/>
      </c>
      <c r="O49" s="161">
        <f>M49-N49</f>
        <v/>
      </c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</sheetData>
  <mergeCells count="16">
    <mergeCell ref="F6:I7"/>
    <mergeCell ref="C2:K2"/>
    <mergeCell ref="B9:E9"/>
    <mergeCell ref="G9:J9"/>
    <mergeCell ref="G10:J10"/>
    <mergeCell ref="B34:D34"/>
    <mergeCell ref="B26:K26"/>
    <mergeCell ref="C3:K3"/>
    <mergeCell ref="G34:I34"/>
    <mergeCell ref="B5:E5"/>
    <mergeCell ref="J6:M7"/>
    <mergeCell ref="F5:I5"/>
    <mergeCell ref="B10:E10"/>
    <mergeCell ref="J5:M5"/>
    <mergeCell ref="B36:E36"/>
    <mergeCell ref="B6:E7"/>
  </mergeCells>
  <dataValidations count="2">
    <dataValidation sqref="D12:D33" showDropDown="0" showInputMessage="1" showErrorMessage="1" allowBlank="1" errorTitle="Please pick from the list" error="Use the dropdown arrow to choose one of the listed options." promptTitle="Pick from the list" prompt="Pick an income category" type="list">
      <formula1>'Lists'!$E$1:$E$4</formula1>
    </dataValidation>
    <dataValidation sqref="I12:I33" showDropDown="0" showInputMessage="1" showErrorMessage="1" allowBlank="1" errorTitle="Please pick from the list" error="Use the dropdown arrow to choose one of the listed options." promptTitle="Pick from the list" prompt="Pick an expense category" type="list">
      <formula1>'Lists'!$F$1:$F$3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FFCF5C"/>
    <outlinePr summaryBelow="1" summaryRight="1"/>
    <pageSetUpPr fitToPage="1"/>
  </sheetPr>
  <dimension ref="A1:AN55"/>
  <sheetViews>
    <sheetView showGridLines="0" zoomScale="90" workbookViewId="0">
      <selection activeCell="A1" sqref="A1"/>
    </sheetView>
  </sheetViews>
  <sheetFormatPr baseColWidth="8" defaultRowHeight="15"/>
  <cols>
    <col width="2.6" customWidth="1" min="1" max="1"/>
    <col width="20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11" customWidth="1" min="34" max="3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>
      <c r="A2" s="1" t="n"/>
      <c r="B2" s="84" t="inlineStr"/>
      <c r="C2" s="3" t="inlineStr">
        <is>
          <t>HABIT TRACKER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</row>
    <row r="3">
      <c r="A3" s="1" t="n"/>
      <c r="B3" s="1" t="n"/>
      <c r="C3" s="4" t="inlineStr">
        <is>
          <t>Tick a box each day you do the habit. The % and charts update on their own.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</row>
    <row r="4">
      <c r="A4" s="1" t="n"/>
      <c r="B4" s="49" t="inlineStr">
        <is>
          <t>Show month:</t>
        </is>
      </c>
      <c r="C4" s="70" t="n">
        <v>46174</v>
      </c>
      <c r="D4" s="152" t="n"/>
      <c r="E4" s="23" t="n"/>
      <c r="F4" s="1" t="n"/>
      <c r="G4" s="162">
        <f>TEXT(Habit_Month,"mmmm yyyy")</f>
        <v/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</row>
    <row r="5" ht="22" customHeight="1">
      <c r="A5" s="1" t="n"/>
      <c r="B5" s="45" t="inlineStr">
        <is>
          <t>ⓘ  Days past the end of the month don't count. The % uses the real number of days in the month you picked.</t>
        </is>
      </c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</row>
    <row r="7">
      <c r="A7" s="1" t="n"/>
      <c r="B7" s="63" t="inlineStr">
        <is>
          <t>Habit</t>
        </is>
      </c>
      <c r="C7" s="163" t="n">
        <v>1</v>
      </c>
      <c r="D7" s="163" t="n">
        <v>2</v>
      </c>
      <c r="E7" s="163" t="n">
        <v>3</v>
      </c>
      <c r="F7" s="163" t="n">
        <v>4</v>
      </c>
      <c r="G7" s="163" t="n">
        <v>5</v>
      </c>
      <c r="H7" s="163" t="n">
        <v>6</v>
      </c>
      <c r="I7" s="163" t="n">
        <v>7</v>
      </c>
      <c r="J7" s="163" t="n">
        <v>8</v>
      </c>
      <c r="K7" s="163" t="n">
        <v>9</v>
      </c>
      <c r="L7" s="163" t="n">
        <v>10</v>
      </c>
      <c r="M7" s="163" t="n">
        <v>11</v>
      </c>
      <c r="N7" s="163" t="n">
        <v>12</v>
      </c>
      <c r="O7" s="163" t="n">
        <v>13</v>
      </c>
      <c r="P7" s="163" t="n">
        <v>14</v>
      </c>
      <c r="Q7" s="163" t="n">
        <v>15</v>
      </c>
      <c r="R7" s="163" t="n">
        <v>16</v>
      </c>
      <c r="S7" s="163" t="n">
        <v>17</v>
      </c>
      <c r="T7" s="163" t="n">
        <v>18</v>
      </c>
      <c r="U7" s="163" t="n">
        <v>19</v>
      </c>
      <c r="V7" s="163" t="n">
        <v>20</v>
      </c>
      <c r="W7" s="163" t="n">
        <v>21</v>
      </c>
      <c r="X7" s="163" t="n">
        <v>22</v>
      </c>
      <c r="Y7" s="163" t="n">
        <v>23</v>
      </c>
      <c r="Z7" s="163" t="n">
        <v>24</v>
      </c>
      <c r="AA7" s="163" t="n">
        <v>25</v>
      </c>
      <c r="AB7" s="163" t="n">
        <v>26</v>
      </c>
      <c r="AC7" s="163" t="n">
        <v>27</v>
      </c>
      <c r="AD7" s="163" t="n">
        <v>28</v>
      </c>
      <c r="AE7" s="163" t="n">
        <v>29</v>
      </c>
      <c r="AF7" s="163" t="n">
        <v>30</v>
      </c>
      <c r="AG7" s="163" t="n">
        <v>31</v>
      </c>
      <c r="AH7" s="164" t="inlineStr">
        <is>
          <t>% done</t>
        </is>
      </c>
      <c r="AI7" s="1" t="n"/>
      <c r="AJ7" s="1" t="n"/>
      <c r="AK7" s="1" t="n"/>
      <c r="AL7" s="1" t="n"/>
      <c r="AM7" s="1" t="n"/>
      <c r="AN7" s="1" t="n"/>
    </row>
    <row r="8">
      <c r="A8" s="1" t="n"/>
      <c r="B8" s="68" t="inlineStr">
        <is>
          <t>Gym / workout</t>
        </is>
      </c>
      <c r="C8" s="87" t="inlineStr"/>
      <c r="D8" s="87" t="inlineStr"/>
      <c r="E8" s="87" t="inlineStr"/>
      <c r="F8" s="87" t="inlineStr"/>
      <c r="G8" s="87" t="inlineStr"/>
      <c r="H8" s="87" t="inlineStr"/>
      <c r="I8" s="87" t="inlineStr"/>
      <c r="J8" s="87" t="inlineStr"/>
      <c r="K8" s="87" t="inlineStr"/>
      <c r="L8" s="87" t="inlineStr"/>
      <c r="M8" s="87" t="inlineStr"/>
      <c r="N8" s="87" t="inlineStr"/>
      <c r="O8" s="87" t="inlineStr"/>
      <c r="P8" s="87" t="inlineStr"/>
      <c r="Q8" s="87" t="inlineStr"/>
      <c r="R8" s="87" t="inlineStr"/>
      <c r="S8" s="87" t="inlineStr"/>
      <c r="T8" s="87" t="inlineStr"/>
      <c r="U8" s="87" t="inlineStr"/>
      <c r="V8" s="87" t="inlineStr"/>
      <c r="W8" s="87" t="inlineStr"/>
      <c r="X8" s="87" t="inlineStr"/>
      <c r="Y8" s="87" t="inlineStr"/>
      <c r="Z8" s="87" t="inlineStr"/>
      <c r="AA8" s="87" t="inlineStr"/>
      <c r="AB8" s="87" t="inlineStr"/>
      <c r="AC8" s="87" t="inlineStr"/>
      <c r="AD8" s="87" t="inlineStr"/>
      <c r="AE8" s="87" t="inlineStr"/>
      <c r="AF8" s="87" t="inlineStr"/>
      <c r="AG8" s="87" t="inlineStr"/>
      <c r="AH8" s="165">
        <f>IF(B8="","",COUNTIF(C8:AG8,"✓")/DAY(EOMONTH(Habit_Month,0)))</f>
        <v/>
      </c>
      <c r="AI8" s="1" t="n"/>
      <c r="AJ8" s="1" t="n"/>
      <c r="AK8" s="1" t="n"/>
      <c r="AL8" s="1" t="n"/>
      <c r="AM8" s="1" t="n"/>
      <c r="AN8" s="1" t="n"/>
    </row>
    <row r="9">
      <c r="A9" s="1" t="n"/>
      <c r="B9" s="68" t="inlineStr">
        <is>
          <t>Post content</t>
        </is>
      </c>
      <c r="C9" s="87" t="inlineStr"/>
      <c r="D9" s="87" t="inlineStr"/>
      <c r="E9" s="87" t="inlineStr"/>
      <c r="F9" s="87" t="inlineStr"/>
      <c r="G9" s="87" t="inlineStr"/>
      <c r="H9" s="87" t="inlineStr"/>
      <c r="I9" s="87" t="inlineStr"/>
      <c r="J9" s="87" t="inlineStr"/>
      <c r="K9" s="87" t="inlineStr"/>
      <c r="L9" s="87" t="inlineStr"/>
      <c r="M9" s="87" t="inlineStr"/>
      <c r="N9" s="87" t="inlineStr"/>
      <c r="O9" s="87" t="inlineStr"/>
      <c r="P9" s="87" t="inlineStr"/>
      <c r="Q9" s="87" t="inlineStr"/>
      <c r="R9" s="87" t="inlineStr"/>
      <c r="S9" s="87" t="inlineStr"/>
      <c r="T9" s="87" t="inlineStr"/>
      <c r="U9" s="87" t="inlineStr"/>
      <c r="V9" s="87" t="inlineStr"/>
      <c r="W9" s="87" t="inlineStr"/>
      <c r="X9" s="87" t="inlineStr"/>
      <c r="Y9" s="87" t="inlineStr"/>
      <c r="Z9" s="87" t="inlineStr"/>
      <c r="AA9" s="87" t="inlineStr"/>
      <c r="AB9" s="87" t="inlineStr"/>
      <c r="AC9" s="87" t="inlineStr"/>
      <c r="AD9" s="87" t="inlineStr"/>
      <c r="AE9" s="87" t="inlineStr"/>
      <c r="AF9" s="87" t="inlineStr"/>
      <c r="AG9" s="87" t="inlineStr"/>
      <c r="AH9" s="166">
        <f>IF(B9="","",COUNTIF(C9:AG9,"✓")/DAY(EOMONTH(Habit_Month,0)))</f>
        <v/>
      </c>
      <c r="AI9" s="1" t="n"/>
      <c r="AJ9" s="1" t="n"/>
      <c r="AK9" s="1" t="n"/>
      <c r="AL9" s="1" t="n"/>
      <c r="AM9" s="1" t="n"/>
      <c r="AN9" s="1" t="n"/>
    </row>
    <row r="10">
      <c r="A10" s="1" t="n"/>
      <c r="B10" s="68" t="inlineStr">
        <is>
          <t>No-spend day</t>
        </is>
      </c>
      <c r="C10" s="87" t="inlineStr"/>
      <c r="D10" s="87" t="inlineStr"/>
      <c r="E10" s="87" t="inlineStr"/>
      <c r="F10" s="87" t="inlineStr"/>
      <c r="G10" s="87" t="inlineStr"/>
      <c r="H10" s="87" t="inlineStr"/>
      <c r="I10" s="87" t="inlineStr"/>
      <c r="J10" s="87" t="inlineStr"/>
      <c r="K10" s="87" t="inlineStr"/>
      <c r="L10" s="87" t="inlineStr"/>
      <c r="M10" s="87" t="inlineStr"/>
      <c r="N10" s="87" t="inlineStr"/>
      <c r="O10" s="87" t="inlineStr"/>
      <c r="P10" s="87" t="inlineStr"/>
      <c r="Q10" s="87" t="inlineStr"/>
      <c r="R10" s="87" t="inlineStr"/>
      <c r="S10" s="87" t="inlineStr"/>
      <c r="T10" s="87" t="inlineStr"/>
      <c r="U10" s="87" t="inlineStr"/>
      <c r="V10" s="87" t="inlineStr"/>
      <c r="W10" s="87" t="inlineStr"/>
      <c r="X10" s="87" t="inlineStr"/>
      <c r="Y10" s="87" t="inlineStr"/>
      <c r="Z10" s="87" t="inlineStr"/>
      <c r="AA10" s="87" t="inlineStr"/>
      <c r="AB10" s="87" t="inlineStr"/>
      <c r="AC10" s="87" t="inlineStr"/>
      <c r="AD10" s="87" t="inlineStr"/>
      <c r="AE10" s="87" t="inlineStr"/>
      <c r="AF10" s="87" t="inlineStr"/>
      <c r="AG10" s="87" t="inlineStr"/>
      <c r="AH10" s="165">
        <f>IF(B10="","",COUNTIF(C10:AG10,"✓")/DAY(EOMONTH(Habit_Month,0)))</f>
        <v/>
      </c>
      <c r="AI10" s="1" t="n"/>
      <c r="AJ10" s="1" t="n"/>
      <c r="AK10" s="1" t="n"/>
      <c r="AL10" s="1" t="n"/>
      <c r="AM10" s="1" t="n"/>
      <c r="AN10" s="1" t="n"/>
    </row>
    <row r="11">
      <c r="A11" s="1" t="n"/>
      <c r="B11" s="68" t="n"/>
      <c r="C11" s="87" t="inlineStr"/>
      <c r="D11" s="87" t="inlineStr"/>
      <c r="E11" s="87" t="inlineStr"/>
      <c r="F11" s="87" t="inlineStr"/>
      <c r="G11" s="87" t="inlineStr"/>
      <c r="H11" s="87" t="inlineStr"/>
      <c r="I11" s="87" t="inlineStr"/>
      <c r="J11" s="87" t="inlineStr"/>
      <c r="K11" s="87" t="inlineStr"/>
      <c r="L11" s="87" t="inlineStr"/>
      <c r="M11" s="87" t="inlineStr"/>
      <c r="N11" s="87" t="inlineStr"/>
      <c r="O11" s="87" t="inlineStr"/>
      <c r="P11" s="87" t="inlineStr"/>
      <c r="Q11" s="87" t="inlineStr"/>
      <c r="R11" s="87" t="inlineStr"/>
      <c r="S11" s="87" t="inlineStr"/>
      <c r="T11" s="87" t="inlineStr"/>
      <c r="U11" s="87" t="inlineStr"/>
      <c r="V11" s="87" t="inlineStr"/>
      <c r="W11" s="87" t="inlineStr"/>
      <c r="X11" s="87" t="inlineStr"/>
      <c r="Y11" s="87" t="inlineStr"/>
      <c r="Z11" s="87" t="inlineStr"/>
      <c r="AA11" s="87" t="inlineStr"/>
      <c r="AB11" s="87" t="inlineStr"/>
      <c r="AC11" s="87" t="inlineStr"/>
      <c r="AD11" s="87" t="inlineStr"/>
      <c r="AE11" s="87" t="inlineStr"/>
      <c r="AF11" s="87" t="inlineStr"/>
      <c r="AG11" s="87" t="inlineStr"/>
      <c r="AH11" s="166">
        <f>IF(B11="","",COUNTIF(C11:AG11,"✓")/DAY(EOMONTH(Habit_Month,0)))</f>
        <v/>
      </c>
      <c r="AI11" s="1" t="n"/>
      <c r="AJ11" s="1" t="n"/>
      <c r="AK11" s="1" t="n"/>
      <c r="AL11" s="1" t="n"/>
      <c r="AM11" s="1" t="n"/>
      <c r="AN11" s="1" t="n"/>
    </row>
    <row r="12">
      <c r="A12" s="1" t="n"/>
      <c r="B12" s="68" t="n"/>
      <c r="C12" s="87" t="inlineStr"/>
      <c r="D12" s="87" t="inlineStr"/>
      <c r="E12" s="87" t="inlineStr"/>
      <c r="F12" s="87" t="inlineStr"/>
      <c r="G12" s="87" t="inlineStr"/>
      <c r="H12" s="87" t="inlineStr"/>
      <c r="I12" s="87" t="inlineStr"/>
      <c r="J12" s="87" t="inlineStr"/>
      <c r="K12" s="87" t="inlineStr"/>
      <c r="L12" s="87" t="inlineStr"/>
      <c r="M12" s="87" t="inlineStr"/>
      <c r="N12" s="87" t="inlineStr"/>
      <c r="O12" s="87" t="inlineStr"/>
      <c r="P12" s="87" t="inlineStr"/>
      <c r="Q12" s="87" t="inlineStr"/>
      <c r="R12" s="87" t="inlineStr"/>
      <c r="S12" s="87" t="inlineStr"/>
      <c r="T12" s="87" t="inlineStr"/>
      <c r="U12" s="87" t="inlineStr"/>
      <c r="V12" s="87" t="inlineStr"/>
      <c r="W12" s="87" t="inlineStr"/>
      <c r="X12" s="87" t="inlineStr"/>
      <c r="Y12" s="87" t="inlineStr"/>
      <c r="Z12" s="87" t="inlineStr"/>
      <c r="AA12" s="87" t="inlineStr"/>
      <c r="AB12" s="87" t="inlineStr"/>
      <c r="AC12" s="87" t="inlineStr"/>
      <c r="AD12" s="87" t="inlineStr"/>
      <c r="AE12" s="87" t="inlineStr"/>
      <c r="AF12" s="87" t="inlineStr"/>
      <c r="AG12" s="87" t="inlineStr"/>
      <c r="AH12" s="165">
        <f>IF(B12="","",COUNTIF(C12:AG12,"✓")/DAY(EOMONTH(Habit_Month,0)))</f>
        <v/>
      </c>
      <c r="AI12" s="1" t="n"/>
      <c r="AJ12" s="1" t="n"/>
      <c r="AK12" s="1" t="n"/>
      <c r="AL12" s="1" t="n"/>
      <c r="AM12" s="1" t="n"/>
      <c r="AN12" s="1" t="n"/>
    </row>
    <row r="13">
      <c r="A13" s="1" t="n"/>
      <c r="B13" s="68" t="n"/>
      <c r="C13" s="87" t="inlineStr"/>
      <c r="D13" s="87" t="inlineStr"/>
      <c r="E13" s="87" t="inlineStr"/>
      <c r="F13" s="87" t="inlineStr"/>
      <c r="G13" s="87" t="inlineStr"/>
      <c r="H13" s="87" t="inlineStr"/>
      <c r="I13" s="87" t="inlineStr"/>
      <c r="J13" s="87" t="inlineStr"/>
      <c r="K13" s="87" t="inlineStr"/>
      <c r="L13" s="87" t="inlineStr"/>
      <c r="M13" s="87" t="inlineStr"/>
      <c r="N13" s="87" t="inlineStr"/>
      <c r="O13" s="87" t="inlineStr"/>
      <c r="P13" s="87" t="inlineStr"/>
      <c r="Q13" s="87" t="inlineStr"/>
      <c r="R13" s="87" t="inlineStr"/>
      <c r="S13" s="87" t="inlineStr"/>
      <c r="T13" s="87" t="inlineStr"/>
      <c r="U13" s="87" t="inlineStr"/>
      <c r="V13" s="87" t="inlineStr"/>
      <c r="W13" s="87" t="inlineStr"/>
      <c r="X13" s="87" t="inlineStr"/>
      <c r="Y13" s="87" t="inlineStr"/>
      <c r="Z13" s="87" t="inlineStr"/>
      <c r="AA13" s="87" t="inlineStr"/>
      <c r="AB13" s="87" t="inlineStr"/>
      <c r="AC13" s="87" t="inlineStr"/>
      <c r="AD13" s="87" t="inlineStr"/>
      <c r="AE13" s="87" t="inlineStr"/>
      <c r="AF13" s="87" t="inlineStr"/>
      <c r="AG13" s="87" t="inlineStr"/>
      <c r="AH13" s="166">
        <f>IF(B13="","",COUNTIF(C13:AG13,"✓")/DAY(EOMONTH(Habit_Month,0)))</f>
        <v/>
      </c>
      <c r="AI13" s="1" t="n"/>
      <c r="AJ13" s="1" t="n"/>
      <c r="AK13" s="1" t="n"/>
      <c r="AL13" s="1" t="n"/>
      <c r="AM13" s="1" t="n"/>
      <c r="AN13" s="1" t="n"/>
    </row>
    <row r="14">
      <c r="A14" s="1" t="n"/>
      <c r="B14" s="68" t="n"/>
      <c r="C14" s="87" t="inlineStr"/>
      <c r="D14" s="87" t="inlineStr"/>
      <c r="E14" s="87" t="inlineStr"/>
      <c r="F14" s="87" t="inlineStr"/>
      <c r="G14" s="87" t="inlineStr"/>
      <c r="H14" s="87" t="inlineStr"/>
      <c r="I14" s="87" t="inlineStr"/>
      <c r="J14" s="87" t="inlineStr"/>
      <c r="K14" s="87" t="inlineStr"/>
      <c r="L14" s="87" t="inlineStr"/>
      <c r="M14" s="87" t="inlineStr"/>
      <c r="N14" s="87" t="inlineStr"/>
      <c r="O14" s="87" t="inlineStr"/>
      <c r="P14" s="87" t="inlineStr"/>
      <c r="Q14" s="87" t="inlineStr"/>
      <c r="R14" s="87" t="inlineStr"/>
      <c r="S14" s="87" t="inlineStr"/>
      <c r="T14" s="87" t="inlineStr"/>
      <c r="U14" s="87" t="inlineStr"/>
      <c r="V14" s="87" t="inlineStr"/>
      <c r="W14" s="87" t="inlineStr"/>
      <c r="X14" s="87" t="inlineStr"/>
      <c r="Y14" s="87" t="inlineStr"/>
      <c r="Z14" s="87" t="inlineStr"/>
      <c r="AA14" s="87" t="inlineStr"/>
      <c r="AB14" s="87" t="inlineStr"/>
      <c r="AC14" s="87" t="inlineStr"/>
      <c r="AD14" s="87" t="inlineStr"/>
      <c r="AE14" s="87" t="inlineStr"/>
      <c r="AF14" s="87" t="inlineStr"/>
      <c r="AG14" s="87" t="inlineStr"/>
      <c r="AH14" s="165">
        <f>IF(B14="","",COUNTIF(C14:AG14,"✓")/DAY(EOMONTH(Habit_Month,0)))</f>
        <v/>
      </c>
      <c r="AI14" s="1" t="n"/>
      <c r="AJ14" s="1" t="n"/>
      <c r="AK14" s="1" t="n"/>
      <c r="AL14" s="1" t="n"/>
      <c r="AM14" s="1" t="n"/>
      <c r="AN14" s="1" t="n"/>
    </row>
    <row r="15">
      <c r="A15" s="1" t="n"/>
      <c r="B15" s="68" t="n"/>
      <c r="C15" s="87" t="inlineStr"/>
      <c r="D15" s="87" t="inlineStr"/>
      <c r="E15" s="87" t="inlineStr"/>
      <c r="F15" s="87" t="inlineStr"/>
      <c r="G15" s="87" t="inlineStr"/>
      <c r="H15" s="87" t="inlineStr"/>
      <c r="I15" s="87" t="inlineStr"/>
      <c r="J15" s="87" t="inlineStr"/>
      <c r="K15" s="87" t="inlineStr"/>
      <c r="L15" s="87" t="inlineStr"/>
      <c r="M15" s="87" t="inlineStr"/>
      <c r="N15" s="87" t="inlineStr"/>
      <c r="O15" s="87" t="inlineStr"/>
      <c r="P15" s="87" t="inlineStr"/>
      <c r="Q15" s="87" t="inlineStr"/>
      <c r="R15" s="87" t="inlineStr"/>
      <c r="S15" s="87" t="inlineStr"/>
      <c r="T15" s="87" t="inlineStr"/>
      <c r="U15" s="87" t="inlineStr"/>
      <c r="V15" s="87" t="inlineStr"/>
      <c r="W15" s="87" t="inlineStr"/>
      <c r="X15" s="87" t="inlineStr"/>
      <c r="Y15" s="87" t="inlineStr"/>
      <c r="Z15" s="87" t="inlineStr"/>
      <c r="AA15" s="87" t="inlineStr"/>
      <c r="AB15" s="87" t="inlineStr"/>
      <c r="AC15" s="87" t="inlineStr"/>
      <c r="AD15" s="87" t="inlineStr"/>
      <c r="AE15" s="87" t="inlineStr"/>
      <c r="AF15" s="87" t="inlineStr"/>
      <c r="AG15" s="87" t="inlineStr"/>
      <c r="AH15" s="166">
        <f>IF(B15="","",COUNTIF(C15:AG15,"✓")/DAY(EOMONTH(Habit_Month,0)))</f>
        <v/>
      </c>
      <c r="AI15" s="1" t="n"/>
      <c r="AJ15" s="1" t="n"/>
      <c r="AK15" s="1" t="n"/>
      <c r="AL15" s="1" t="n"/>
      <c r="AM15" s="1" t="n"/>
      <c r="A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</row>
    <row r="17">
      <c r="A17" s="1" t="n"/>
      <c r="B17" s="11" t="inlineStr">
        <is>
          <t>COMPLETION % BY HABIT</t>
        </is>
      </c>
      <c r="J17" s="1" t="n"/>
      <c r="K17" s="1" t="n"/>
      <c r="L17" s="153" t="inlineStr">
        <is>
          <t>DAILY ACTIVITY</t>
        </is>
      </c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</row>
    <row r="39">
      <c r="A39" s="1" t="n"/>
      <c r="B39" s="106" t="inlineStr">
        <is>
          <t>daily totals helper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</row>
    <row r="40">
      <c r="A40" s="1" t="n"/>
      <c r="B40" s="1" t="n"/>
      <c r="C40" s="106" t="n">
        <v>1</v>
      </c>
      <c r="D40" s="106" t="n">
        <v>2</v>
      </c>
      <c r="E40" s="106" t="n">
        <v>3</v>
      </c>
      <c r="F40" s="106" t="n">
        <v>4</v>
      </c>
      <c r="G40" s="106" t="n">
        <v>5</v>
      </c>
      <c r="H40" s="106" t="n">
        <v>6</v>
      </c>
      <c r="I40" s="106" t="n">
        <v>7</v>
      </c>
      <c r="J40" s="106" t="n">
        <v>8</v>
      </c>
      <c r="K40" s="106" t="n">
        <v>9</v>
      </c>
      <c r="L40" s="106" t="n">
        <v>10</v>
      </c>
      <c r="M40" s="106" t="n">
        <v>11</v>
      </c>
      <c r="N40" s="106" t="n">
        <v>12</v>
      </c>
      <c r="O40" s="106" t="n">
        <v>13</v>
      </c>
      <c r="P40" s="106" t="n">
        <v>14</v>
      </c>
      <c r="Q40" s="106" t="n">
        <v>15</v>
      </c>
      <c r="R40" s="106" t="n">
        <v>16</v>
      </c>
      <c r="S40" s="106" t="n">
        <v>17</v>
      </c>
      <c r="T40" s="106" t="n">
        <v>18</v>
      </c>
      <c r="U40" s="106" t="n">
        <v>19</v>
      </c>
      <c r="V40" s="106" t="n">
        <v>20</v>
      </c>
      <c r="W40" s="106" t="n">
        <v>21</v>
      </c>
      <c r="X40" s="106" t="n">
        <v>22</v>
      </c>
      <c r="Y40" s="106" t="n">
        <v>23</v>
      </c>
      <c r="Z40" s="106" t="n">
        <v>24</v>
      </c>
      <c r="AA40" s="106" t="n">
        <v>25</v>
      </c>
      <c r="AB40" s="106" t="n">
        <v>26</v>
      </c>
      <c r="AC40" s="106" t="n">
        <v>27</v>
      </c>
      <c r="AD40" s="106" t="n">
        <v>28</v>
      </c>
      <c r="AE40" s="106" t="n">
        <v>29</v>
      </c>
      <c r="AF40" s="106" t="n">
        <v>30</v>
      </c>
      <c r="AG40" s="106" t="n">
        <v>31</v>
      </c>
      <c r="AH40" s="1" t="n"/>
      <c r="AI40" s="1" t="n"/>
      <c r="AJ40" s="1" t="n"/>
      <c r="AK40" s="1" t="n"/>
      <c r="AL40" s="1" t="n"/>
      <c r="AM40" s="1" t="n"/>
      <c r="AN40" s="1" t="n"/>
    </row>
    <row r="41">
      <c r="A41" s="1" t="n"/>
      <c r="B41" s="1" t="n"/>
      <c r="C41" s="145">
        <f>COUNTIF(C8:C15,"✓")</f>
        <v/>
      </c>
      <c r="D41" s="145">
        <f>COUNTIF(D8:D15,"✓")</f>
        <v/>
      </c>
      <c r="E41" s="145">
        <f>COUNTIF(E8:E15,"✓")</f>
        <v/>
      </c>
      <c r="F41" s="145">
        <f>COUNTIF(F8:F15,"✓")</f>
        <v/>
      </c>
      <c r="G41" s="145">
        <f>COUNTIF(G8:G15,"✓")</f>
        <v/>
      </c>
      <c r="H41" s="145">
        <f>COUNTIF(H8:H15,"✓")</f>
        <v/>
      </c>
      <c r="I41" s="145">
        <f>COUNTIF(I8:I15,"✓")</f>
        <v/>
      </c>
      <c r="J41" s="145">
        <f>COUNTIF(J8:J15,"✓")</f>
        <v/>
      </c>
      <c r="K41" s="145">
        <f>COUNTIF(K8:K15,"✓")</f>
        <v/>
      </c>
      <c r="L41" s="145">
        <f>COUNTIF(L8:L15,"✓")</f>
        <v/>
      </c>
      <c r="M41" s="145">
        <f>COUNTIF(M8:M15,"✓")</f>
        <v/>
      </c>
      <c r="N41" s="145">
        <f>COUNTIF(N8:N15,"✓")</f>
        <v/>
      </c>
      <c r="O41" s="145">
        <f>COUNTIF(O8:O15,"✓")</f>
        <v/>
      </c>
      <c r="P41" s="145">
        <f>COUNTIF(P8:P15,"✓")</f>
        <v/>
      </c>
      <c r="Q41" s="145">
        <f>COUNTIF(Q8:Q15,"✓")</f>
        <v/>
      </c>
      <c r="R41" s="145">
        <f>COUNTIF(R8:R15,"✓")</f>
        <v/>
      </c>
      <c r="S41" s="145">
        <f>COUNTIF(S8:S15,"✓")</f>
        <v/>
      </c>
      <c r="T41" s="145">
        <f>COUNTIF(T8:T15,"✓")</f>
        <v/>
      </c>
      <c r="U41" s="145">
        <f>COUNTIF(U8:U15,"✓")</f>
        <v/>
      </c>
      <c r="V41" s="145">
        <f>COUNTIF(V8:V15,"✓")</f>
        <v/>
      </c>
      <c r="W41" s="145">
        <f>COUNTIF(W8:W15,"✓")</f>
        <v/>
      </c>
      <c r="X41" s="145">
        <f>COUNTIF(X8:X15,"✓")</f>
        <v/>
      </c>
      <c r="Y41" s="145">
        <f>COUNTIF(Y8:Y15,"✓")</f>
        <v/>
      </c>
      <c r="Z41" s="145">
        <f>COUNTIF(Z8:Z15,"✓")</f>
        <v/>
      </c>
      <c r="AA41" s="145">
        <f>COUNTIF(AA8:AA15,"✓")</f>
        <v/>
      </c>
      <c r="AB41" s="145">
        <f>COUNTIF(AB8:AB15,"✓")</f>
        <v/>
      </c>
      <c r="AC41" s="145">
        <f>COUNTIF(AC8:AC15,"✓")</f>
        <v/>
      </c>
      <c r="AD41" s="145">
        <f>COUNTIF(AD8:AD15,"✓")</f>
        <v/>
      </c>
      <c r="AE41" s="145">
        <f>COUNTIF(AE8:AE15,"✓")</f>
        <v/>
      </c>
      <c r="AF41" s="145">
        <f>COUNTIF(AF8:AF15,"✓")</f>
        <v/>
      </c>
      <c r="AG41" s="145">
        <f>COUNTIF(AG8:AG15,"✓")</f>
        <v/>
      </c>
      <c r="AH41" s="1" t="n"/>
      <c r="AI41" s="1" t="n"/>
      <c r="AJ41" s="1" t="n"/>
      <c r="AK41" s="1" t="n"/>
      <c r="AL41" s="1" t="n"/>
      <c r="AM41" s="1" t="n"/>
      <c r="A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</row>
  </sheetData>
  <mergeCells count="7">
    <mergeCell ref="C2:K2"/>
    <mergeCell ref="L17:S17"/>
    <mergeCell ref="C4:E4"/>
    <mergeCell ref="B5:O5"/>
    <mergeCell ref="C3:K3"/>
    <mergeCell ref="G4:L4"/>
    <mergeCell ref="B17:I17"/>
  </mergeCells>
  <conditionalFormatting sqref="C8:AG15">
    <cfRule type="expression" priority="1" dxfId="3" stopIfTrue="0">
      <formula>C8="✓"</formula>
    </cfRule>
  </conditionalFormatting>
  <conditionalFormatting sqref="AH8">
    <cfRule type="dataBar" priority="2">
      <dataBar showValue="1">
        <cfvo type="num" val="0"/>
        <cfvo type="num" val="1"/>
        <color rgb="001FB593"/>
      </dataBar>
    </cfRule>
  </conditionalFormatting>
  <conditionalFormatting sqref="AH9">
    <cfRule type="dataBar" priority="3">
      <dataBar showValue="1">
        <cfvo type="num" val="0"/>
        <cfvo type="num" val="1"/>
        <color rgb="001FB593"/>
      </dataBar>
    </cfRule>
  </conditionalFormatting>
  <conditionalFormatting sqref="AH10">
    <cfRule type="dataBar" priority="4">
      <dataBar showValue="1">
        <cfvo type="num" val="0"/>
        <cfvo type="num" val="1"/>
        <color rgb="001FB593"/>
      </dataBar>
    </cfRule>
  </conditionalFormatting>
  <conditionalFormatting sqref="AH11">
    <cfRule type="dataBar" priority="5">
      <dataBar showValue="1">
        <cfvo type="num" val="0"/>
        <cfvo type="num" val="1"/>
        <color rgb="001FB593"/>
      </dataBar>
    </cfRule>
  </conditionalFormatting>
  <conditionalFormatting sqref="AH12">
    <cfRule type="dataBar" priority="6">
      <dataBar showValue="1">
        <cfvo type="num" val="0"/>
        <cfvo type="num" val="1"/>
        <color rgb="001FB593"/>
      </dataBar>
    </cfRule>
  </conditionalFormatting>
  <conditionalFormatting sqref="AH13">
    <cfRule type="dataBar" priority="7">
      <dataBar showValue="1">
        <cfvo type="num" val="0"/>
        <cfvo type="num" val="1"/>
        <color rgb="001FB593"/>
      </dataBar>
    </cfRule>
  </conditionalFormatting>
  <conditionalFormatting sqref="AH14">
    <cfRule type="dataBar" priority="8">
      <dataBar showValue="1">
        <cfvo type="num" val="0"/>
        <cfvo type="num" val="1"/>
        <color rgb="001FB593"/>
      </dataBar>
    </cfRule>
  </conditionalFormatting>
  <conditionalFormatting sqref="AH15">
    <cfRule type="dataBar" priority="9">
      <dataBar showValue="1">
        <cfvo type="num" val="0"/>
        <cfvo type="num" val="1"/>
        <color rgb="001FB593"/>
      </dataBar>
    </cfRule>
  </conditionalFormatting>
  <dataValidations count="1">
    <dataValidation sqref="C8:AG15" showDropDown="0" showInputMessage="1" showErrorMessage="1" allowBlank="1" errorTitle="Please pick from the list" error="Use the dropdown arrow to choose one of the listed options." promptTitle="Pick from the list" prompt="Tick the day you did it" type="list">
      <formula1>'Lists'!$A$1:$A$2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Yes</t>
        </is>
      </c>
      <c r="C1" t="inlineStr">
        <is>
          <t>Groceries/Food</t>
        </is>
      </c>
      <c r="D1" t="inlineStr">
        <is>
          <t>Tax refund (one-time)</t>
        </is>
      </c>
      <c r="E1" t="inlineStr">
        <is>
          <t>Influencer campaign</t>
        </is>
      </c>
      <c r="F1" t="inlineStr">
        <is>
          <t>Software/Subscriptions</t>
        </is>
      </c>
      <c r="G1" t="inlineStr">
        <is>
          <t>On track</t>
        </is>
      </c>
    </row>
    <row r="2">
      <c r="A2" t="inlineStr">
        <is>
          <t>✓</t>
        </is>
      </c>
      <c r="B2" t="inlineStr">
        <is>
          <t>No</t>
        </is>
      </c>
      <c r="C2" t="inlineStr">
        <is>
          <t>Takeout/Dining</t>
        </is>
      </c>
      <c r="D2" t="inlineStr">
        <is>
          <t>CGEB top-up (one-time)</t>
        </is>
      </c>
      <c r="E2" t="inlineStr">
        <is>
          <t>Social media management</t>
        </is>
      </c>
      <c r="F2" t="inlineStr">
        <is>
          <t>Gear/Equipment</t>
        </is>
      </c>
      <c r="G2" t="inlineStr">
        <is>
          <t>Behind</t>
        </is>
      </c>
    </row>
    <row r="3">
      <c r="C3" t="inlineStr">
        <is>
          <t>Transport</t>
        </is>
      </c>
      <c r="D3" t="inlineStr">
        <is>
          <t>CGEB (quarterly)</t>
        </is>
      </c>
      <c r="E3" t="inlineStr">
        <is>
          <t>Content/UGC</t>
        </is>
      </c>
      <c r="F3" t="inlineStr">
        <is>
          <t>Other</t>
        </is>
      </c>
      <c r="G3" t="inlineStr">
        <is>
          <t>Ahead</t>
        </is>
      </c>
    </row>
    <row r="4">
      <c r="C4" t="inlineStr">
        <is>
          <t>Entertainment</t>
        </is>
      </c>
      <c r="D4" t="inlineStr">
        <is>
          <t>OTB (monthly)</t>
        </is>
      </c>
      <c r="E4" t="inlineStr">
        <is>
          <t>Other</t>
        </is>
      </c>
    </row>
    <row r="5">
      <c r="C5" t="inlineStr">
        <is>
          <t>Personal/Shopping</t>
        </is>
      </c>
      <c r="D5" t="inlineStr">
        <is>
          <t>Other government payment</t>
        </is>
      </c>
    </row>
    <row r="6">
      <c r="C6" t="inlineStr">
        <is>
          <t>Other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67" t="inlineStr">
        <is>
          <t>MonthDate</t>
        </is>
      </c>
      <c r="B1" s="167" t="inlineStr">
        <is>
          <t>Month</t>
        </is>
      </c>
      <c r="C1" s="167" t="inlineStr">
        <is>
          <t>Paycheque</t>
        </is>
      </c>
      <c r="D1" s="167" t="inlineStr">
        <is>
          <t>Gov't</t>
        </is>
      </c>
      <c r="E1" s="167" t="inlineStr">
        <is>
          <t>Side</t>
        </is>
      </c>
      <c r="F1" s="167" t="inlineStr">
        <is>
          <t>Total Income</t>
        </is>
      </c>
      <c r="G1" s="167" t="inlineStr">
        <is>
          <t>Fixed</t>
        </is>
      </c>
      <c r="H1" s="167" t="inlineStr">
        <is>
          <t>Extras</t>
        </is>
      </c>
      <c r="I1" s="167" t="inlineStr">
        <is>
          <t>Bills</t>
        </is>
      </c>
      <c r="J1" s="167" t="inlineStr">
        <is>
          <t>Total Expenses</t>
        </is>
      </c>
      <c r="K1" s="167" t="inlineStr">
        <is>
          <t>Leftover</t>
        </is>
      </c>
      <c r="L1" s="167" t="inlineStr">
        <is>
          <t>Cumulative</t>
        </is>
      </c>
      <c r="M1" s="167" t="inlineStr">
        <is>
          <t>Inc(shown)</t>
        </is>
      </c>
      <c r="N1" s="167" t="inlineStr">
        <is>
          <t>Exp(shown)</t>
        </is>
      </c>
    </row>
    <row r="2">
      <c r="A2" s="168" t="n">
        <v>46174</v>
      </c>
      <c r="B2">
        <f>TEXT(A2,"mmm yyyy")</f>
        <v/>
      </c>
      <c r="C2" s="169">
        <f>SUMIFS(Pay_Net,Pay_Date,"&gt;="&amp;A2,Pay_Date,"&lt;"&amp;EDATE(A2,1))</f>
        <v/>
      </c>
      <c r="D2" s="169">
        <f>SUMPRODUCT(Gov_Amt*(Gov_Start&lt;=A2)*(((Gov_Int=0)*(Gov_Start=A2))+((Gov_Int&gt;0)*(MOD((YEAR(A2)-YEAR(Gov_Start))*12+MONTH(A2)-MONTH(Gov_Start),IF(Gov_Int=0,1,Gov_Int))=0))))</f>
        <v/>
      </c>
      <c r="E2" s="169">
        <f>SUMIFS(Side_Inc_Amt,Side_Inc_Date,"&gt;="&amp;A2,Side_Inc_Date,"&lt;"&amp;EDATE(A2,1))</f>
        <v/>
      </c>
      <c r="F2" s="169">
        <f>C2+D2+E2</f>
        <v/>
      </c>
      <c r="G2" s="169">
        <f>SUMPRODUCT(Fixed_Amt*(Fixed_Start&lt;=A2))</f>
        <v/>
      </c>
      <c r="H2" s="169">
        <f>SUMIFS(Disc_Amt,Disc_Date,"&gt;="&amp;A2,Disc_Date,"&lt;"&amp;EDATE(A2,1))</f>
        <v/>
      </c>
      <c r="I2" s="169">
        <f>SUMPRODUCT(Bill_Amt*(Bill_InBudget="Yes")*(Bill_Start&lt;=A2))+SUMIFS(Plan_Amt,Plan_Date,"&gt;="&amp;A2,Plan_Date,"&lt;"&amp;EDATE(A2,1))</f>
        <v/>
      </c>
      <c r="J2" s="169">
        <f>G2+H2+I2</f>
        <v/>
      </c>
      <c r="K2" s="169">
        <f>F2-J2</f>
        <v/>
      </c>
      <c r="L2" s="169">
        <f>IF(C2&gt;0,K2,0)</f>
        <v/>
      </c>
      <c r="M2" s="169">
        <f>IF(C2&gt;0,F2,NA())</f>
        <v/>
      </c>
      <c r="N2" s="169">
        <f>IF(C2&gt;0,J2,NA())</f>
        <v/>
      </c>
    </row>
    <row r="3">
      <c r="A3" s="168" t="n">
        <v>46204</v>
      </c>
      <c r="B3">
        <f>TEXT(A3,"mmm yyyy")</f>
        <v/>
      </c>
      <c r="C3" s="169">
        <f>SUMIFS(Pay_Net,Pay_Date,"&gt;="&amp;A3,Pay_Date,"&lt;"&amp;EDATE(A3,1))</f>
        <v/>
      </c>
      <c r="D3" s="169">
        <f>SUMPRODUCT(Gov_Amt*(Gov_Start&lt;=A3)*(((Gov_Int=0)*(Gov_Start=A3))+((Gov_Int&gt;0)*(MOD((YEAR(A3)-YEAR(Gov_Start))*12+MONTH(A3)-MONTH(Gov_Start),IF(Gov_Int=0,1,Gov_Int))=0))))</f>
        <v/>
      </c>
      <c r="E3" s="169">
        <f>SUMIFS(Side_Inc_Amt,Side_Inc_Date,"&gt;="&amp;A3,Side_Inc_Date,"&lt;"&amp;EDATE(A3,1))</f>
        <v/>
      </c>
      <c r="F3" s="169">
        <f>C3+D3+E3</f>
        <v/>
      </c>
      <c r="G3" s="169">
        <f>SUMPRODUCT(Fixed_Amt*(Fixed_Start&lt;=A3))</f>
        <v/>
      </c>
      <c r="H3" s="169">
        <f>SUMIFS(Disc_Amt,Disc_Date,"&gt;="&amp;A3,Disc_Date,"&lt;"&amp;EDATE(A3,1))</f>
        <v/>
      </c>
      <c r="I3" s="169">
        <f>SUMPRODUCT(Bill_Amt*(Bill_InBudget="Yes")*(Bill_Start&lt;=A3))+SUMIFS(Plan_Amt,Plan_Date,"&gt;="&amp;A3,Plan_Date,"&lt;"&amp;EDATE(A3,1))</f>
        <v/>
      </c>
      <c r="J3" s="169">
        <f>G3+H3+I3</f>
        <v/>
      </c>
      <c r="K3" s="169">
        <f>F3-J3</f>
        <v/>
      </c>
      <c r="L3" s="169">
        <f>L2+IF(C3&gt;0,K3,0)</f>
        <v/>
      </c>
      <c r="M3" s="169">
        <f>IF(C3&gt;0,F3,NA())</f>
        <v/>
      </c>
      <c r="N3" s="169">
        <f>IF(C3&gt;0,J3,NA())</f>
        <v/>
      </c>
    </row>
    <row r="4">
      <c r="A4" s="168" t="n">
        <v>46235</v>
      </c>
      <c r="B4">
        <f>TEXT(A4,"mmm yyyy")</f>
        <v/>
      </c>
      <c r="C4" s="169">
        <f>SUMIFS(Pay_Net,Pay_Date,"&gt;="&amp;A4,Pay_Date,"&lt;"&amp;EDATE(A4,1))</f>
        <v/>
      </c>
      <c r="D4" s="169">
        <f>SUMPRODUCT(Gov_Amt*(Gov_Start&lt;=A4)*(((Gov_Int=0)*(Gov_Start=A4))+((Gov_Int&gt;0)*(MOD((YEAR(A4)-YEAR(Gov_Start))*12+MONTH(A4)-MONTH(Gov_Start),IF(Gov_Int=0,1,Gov_Int))=0))))</f>
        <v/>
      </c>
      <c r="E4" s="169">
        <f>SUMIFS(Side_Inc_Amt,Side_Inc_Date,"&gt;="&amp;A4,Side_Inc_Date,"&lt;"&amp;EDATE(A4,1))</f>
        <v/>
      </c>
      <c r="F4" s="169">
        <f>C4+D4+E4</f>
        <v/>
      </c>
      <c r="G4" s="169">
        <f>SUMPRODUCT(Fixed_Amt*(Fixed_Start&lt;=A4))</f>
        <v/>
      </c>
      <c r="H4" s="169">
        <f>SUMIFS(Disc_Amt,Disc_Date,"&gt;="&amp;A4,Disc_Date,"&lt;"&amp;EDATE(A4,1))</f>
        <v/>
      </c>
      <c r="I4" s="169">
        <f>SUMPRODUCT(Bill_Amt*(Bill_InBudget="Yes")*(Bill_Start&lt;=A4))+SUMIFS(Plan_Amt,Plan_Date,"&gt;="&amp;A4,Plan_Date,"&lt;"&amp;EDATE(A4,1))</f>
        <v/>
      </c>
      <c r="J4" s="169">
        <f>G4+H4+I4</f>
        <v/>
      </c>
      <c r="K4" s="169">
        <f>F4-J4</f>
        <v/>
      </c>
      <c r="L4" s="169">
        <f>L3+IF(C4&gt;0,K4,0)</f>
        <v/>
      </c>
      <c r="M4" s="169">
        <f>IF(C4&gt;0,F4,NA())</f>
        <v/>
      </c>
      <c r="N4" s="169">
        <f>IF(C4&gt;0,J4,NA())</f>
        <v/>
      </c>
    </row>
    <row r="5">
      <c r="A5" s="168" t="n">
        <v>46266</v>
      </c>
      <c r="B5">
        <f>TEXT(A5,"mmm yyyy")</f>
        <v/>
      </c>
      <c r="C5" s="169">
        <f>SUMIFS(Pay_Net,Pay_Date,"&gt;="&amp;A5,Pay_Date,"&lt;"&amp;EDATE(A5,1))</f>
        <v/>
      </c>
      <c r="D5" s="169">
        <f>SUMPRODUCT(Gov_Amt*(Gov_Start&lt;=A5)*(((Gov_Int=0)*(Gov_Start=A5))+((Gov_Int&gt;0)*(MOD((YEAR(A5)-YEAR(Gov_Start))*12+MONTH(A5)-MONTH(Gov_Start),IF(Gov_Int=0,1,Gov_Int))=0))))</f>
        <v/>
      </c>
      <c r="E5" s="169">
        <f>SUMIFS(Side_Inc_Amt,Side_Inc_Date,"&gt;="&amp;A5,Side_Inc_Date,"&lt;"&amp;EDATE(A5,1))</f>
        <v/>
      </c>
      <c r="F5" s="169">
        <f>C5+D5+E5</f>
        <v/>
      </c>
      <c r="G5" s="169">
        <f>SUMPRODUCT(Fixed_Amt*(Fixed_Start&lt;=A5))</f>
        <v/>
      </c>
      <c r="H5" s="169">
        <f>SUMIFS(Disc_Amt,Disc_Date,"&gt;="&amp;A5,Disc_Date,"&lt;"&amp;EDATE(A5,1))</f>
        <v/>
      </c>
      <c r="I5" s="169">
        <f>SUMPRODUCT(Bill_Amt*(Bill_InBudget="Yes")*(Bill_Start&lt;=A5))+SUMIFS(Plan_Amt,Plan_Date,"&gt;="&amp;A5,Plan_Date,"&lt;"&amp;EDATE(A5,1))</f>
        <v/>
      </c>
      <c r="J5" s="169">
        <f>G5+H5+I5</f>
        <v/>
      </c>
      <c r="K5" s="169">
        <f>F5-J5</f>
        <v/>
      </c>
      <c r="L5" s="169">
        <f>L4+IF(C5&gt;0,K5,0)</f>
        <v/>
      </c>
      <c r="M5" s="169">
        <f>IF(C5&gt;0,F5,NA())</f>
        <v/>
      </c>
      <c r="N5" s="169">
        <f>IF(C5&gt;0,J5,NA())</f>
        <v/>
      </c>
    </row>
    <row r="6">
      <c r="A6" s="168" t="n">
        <v>46296</v>
      </c>
      <c r="B6">
        <f>TEXT(A6,"mmm yyyy")</f>
        <v/>
      </c>
      <c r="C6" s="169">
        <f>SUMIFS(Pay_Net,Pay_Date,"&gt;="&amp;A6,Pay_Date,"&lt;"&amp;EDATE(A6,1))</f>
        <v/>
      </c>
      <c r="D6" s="169">
        <f>SUMPRODUCT(Gov_Amt*(Gov_Start&lt;=A6)*(((Gov_Int=0)*(Gov_Start=A6))+((Gov_Int&gt;0)*(MOD((YEAR(A6)-YEAR(Gov_Start))*12+MONTH(A6)-MONTH(Gov_Start),IF(Gov_Int=0,1,Gov_Int))=0))))</f>
        <v/>
      </c>
      <c r="E6" s="169">
        <f>SUMIFS(Side_Inc_Amt,Side_Inc_Date,"&gt;="&amp;A6,Side_Inc_Date,"&lt;"&amp;EDATE(A6,1))</f>
        <v/>
      </c>
      <c r="F6" s="169">
        <f>C6+D6+E6</f>
        <v/>
      </c>
      <c r="G6" s="169">
        <f>SUMPRODUCT(Fixed_Amt*(Fixed_Start&lt;=A6))</f>
        <v/>
      </c>
      <c r="H6" s="169">
        <f>SUMIFS(Disc_Amt,Disc_Date,"&gt;="&amp;A6,Disc_Date,"&lt;"&amp;EDATE(A6,1))</f>
        <v/>
      </c>
      <c r="I6" s="169">
        <f>SUMPRODUCT(Bill_Amt*(Bill_InBudget="Yes")*(Bill_Start&lt;=A6))+SUMIFS(Plan_Amt,Plan_Date,"&gt;="&amp;A6,Plan_Date,"&lt;"&amp;EDATE(A6,1))</f>
        <v/>
      </c>
      <c r="J6" s="169">
        <f>G6+H6+I6</f>
        <v/>
      </c>
      <c r="K6" s="169">
        <f>F6-J6</f>
        <v/>
      </c>
      <c r="L6" s="169">
        <f>L5+IF(C6&gt;0,K6,0)</f>
        <v/>
      </c>
      <c r="M6" s="169">
        <f>IF(C6&gt;0,F6,NA())</f>
        <v/>
      </c>
      <c r="N6" s="169">
        <f>IF(C6&gt;0,J6,NA())</f>
        <v/>
      </c>
    </row>
    <row r="7">
      <c r="A7" s="168" t="n">
        <v>46327</v>
      </c>
      <c r="B7">
        <f>TEXT(A7,"mmm yyyy")</f>
        <v/>
      </c>
      <c r="C7" s="169">
        <f>SUMIFS(Pay_Net,Pay_Date,"&gt;="&amp;A7,Pay_Date,"&lt;"&amp;EDATE(A7,1))</f>
        <v/>
      </c>
      <c r="D7" s="169">
        <f>SUMPRODUCT(Gov_Amt*(Gov_Start&lt;=A7)*(((Gov_Int=0)*(Gov_Start=A7))+((Gov_Int&gt;0)*(MOD((YEAR(A7)-YEAR(Gov_Start))*12+MONTH(A7)-MONTH(Gov_Start),IF(Gov_Int=0,1,Gov_Int))=0))))</f>
        <v/>
      </c>
      <c r="E7" s="169">
        <f>SUMIFS(Side_Inc_Amt,Side_Inc_Date,"&gt;="&amp;A7,Side_Inc_Date,"&lt;"&amp;EDATE(A7,1))</f>
        <v/>
      </c>
      <c r="F7" s="169">
        <f>C7+D7+E7</f>
        <v/>
      </c>
      <c r="G7" s="169">
        <f>SUMPRODUCT(Fixed_Amt*(Fixed_Start&lt;=A7))</f>
        <v/>
      </c>
      <c r="H7" s="169">
        <f>SUMIFS(Disc_Amt,Disc_Date,"&gt;="&amp;A7,Disc_Date,"&lt;"&amp;EDATE(A7,1))</f>
        <v/>
      </c>
      <c r="I7" s="169">
        <f>SUMPRODUCT(Bill_Amt*(Bill_InBudget="Yes")*(Bill_Start&lt;=A7))+SUMIFS(Plan_Amt,Plan_Date,"&gt;="&amp;A7,Plan_Date,"&lt;"&amp;EDATE(A7,1))</f>
        <v/>
      </c>
      <c r="J7" s="169">
        <f>G7+H7+I7</f>
        <v/>
      </c>
      <c r="K7" s="169">
        <f>F7-J7</f>
        <v/>
      </c>
      <c r="L7" s="169">
        <f>L6+IF(C7&gt;0,K7,0)</f>
        <v/>
      </c>
      <c r="M7" s="169">
        <f>IF(C7&gt;0,F7,NA())</f>
        <v/>
      </c>
      <c r="N7" s="169">
        <f>IF(C7&gt;0,J7,NA())</f>
        <v/>
      </c>
    </row>
    <row r="8">
      <c r="A8" s="168" t="n">
        <v>46357</v>
      </c>
      <c r="B8">
        <f>TEXT(A8,"mmm yyyy")</f>
        <v/>
      </c>
      <c r="C8" s="169">
        <f>SUMIFS(Pay_Net,Pay_Date,"&gt;="&amp;A8,Pay_Date,"&lt;"&amp;EDATE(A8,1))</f>
        <v/>
      </c>
      <c r="D8" s="169">
        <f>SUMPRODUCT(Gov_Amt*(Gov_Start&lt;=A8)*(((Gov_Int=0)*(Gov_Start=A8))+((Gov_Int&gt;0)*(MOD((YEAR(A8)-YEAR(Gov_Start))*12+MONTH(A8)-MONTH(Gov_Start),IF(Gov_Int=0,1,Gov_Int))=0))))</f>
        <v/>
      </c>
      <c r="E8" s="169">
        <f>SUMIFS(Side_Inc_Amt,Side_Inc_Date,"&gt;="&amp;A8,Side_Inc_Date,"&lt;"&amp;EDATE(A8,1))</f>
        <v/>
      </c>
      <c r="F8" s="169">
        <f>C8+D8+E8</f>
        <v/>
      </c>
      <c r="G8" s="169">
        <f>SUMPRODUCT(Fixed_Amt*(Fixed_Start&lt;=A8))</f>
        <v/>
      </c>
      <c r="H8" s="169">
        <f>SUMIFS(Disc_Amt,Disc_Date,"&gt;="&amp;A8,Disc_Date,"&lt;"&amp;EDATE(A8,1))</f>
        <v/>
      </c>
      <c r="I8" s="169">
        <f>SUMPRODUCT(Bill_Amt*(Bill_InBudget="Yes")*(Bill_Start&lt;=A8))+SUMIFS(Plan_Amt,Plan_Date,"&gt;="&amp;A8,Plan_Date,"&lt;"&amp;EDATE(A8,1))</f>
        <v/>
      </c>
      <c r="J8" s="169">
        <f>G8+H8+I8</f>
        <v/>
      </c>
      <c r="K8" s="169">
        <f>F8-J8</f>
        <v/>
      </c>
      <c r="L8" s="169">
        <f>L7+IF(C8&gt;0,K8,0)</f>
        <v/>
      </c>
      <c r="M8" s="169">
        <f>IF(C8&gt;0,F8,NA())</f>
        <v/>
      </c>
      <c r="N8" s="169">
        <f>IF(C8&gt;0,J8,NA())</f>
        <v/>
      </c>
    </row>
    <row r="9">
      <c r="A9" s="168" t="n">
        <v>46388</v>
      </c>
      <c r="B9">
        <f>TEXT(A9,"mmm yyyy")</f>
        <v/>
      </c>
      <c r="C9" s="169">
        <f>SUMIFS(Pay_Net,Pay_Date,"&gt;="&amp;A9,Pay_Date,"&lt;"&amp;EDATE(A9,1))</f>
        <v/>
      </c>
      <c r="D9" s="169">
        <f>SUMPRODUCT(Gov_Amt*(Gov_Start&lt;=A9)*(((Gov_Int=0)*(Gov_Start=A9))+((Gov_Int&gt;0)*(MOD((YEAR(A9)-YEAR(Gov_Start))*12+MONTH(A9)-MONTH(Gov_Start),IF(Gov_Int=0,1,Gov_Int))=0))))</f>
        <v/>
      </c>
      <c r="E9" s="169">
        <f>SUMIFS(Side_Inc_Amt,Side_Inc_Date,"&gt;="&amp;A9,Side_Inc_Date,"&lt;"&amp;EDATE(A9,1))</f>
        <v/>
      </c>
      <c r="F9" s="169">
        <f>C9+D9+E9</f>
        <v/>
      </c>
      <c r="G9" s="169">
        <f>SUMPRODUCT(Fixed_Amt*(Fixed_Start&lt;=A9))</f>
        <v/>
      </c>
      <c r="H9" s="169">
        <f>SUMIFS(Disc_Amt,Disc_Date,"&gt;="&amp;A9,Disc_Date,"&lt;"&amp;EDATE(A9,1))</f>
        <v/>
      </c>
      <c r="I9" s="169">
        <f>SUMPRODUCT(Bill_Amt*(Bill_InBudget="Yes")*(Bill_Start&lt;=A9))+SUMIFS(Plan_Amt,Plan_Date,"&gt;="&amp;A9,Plan_Date,"&lt;"&amp;EDATE(A9,1))</f>
        <v/>
      </c>
      <c r="J9" s="169">
        <f>G9+H9+I9</f>
        <v/>
      </c>
      <c r="K9" s="169">
        <f>F9-J9</f>
        <v/>
      </c>
      <c r="L9" s="169">
        <f>L8+IF(C9&gt;0,K9,0)</f>
        <v/>
      </c>
      <c r="M9" s="169">
        <f>IF(C9&gt;0,F9,NA())</f>
        <v/>
      </c>
      <c r="N9" s="169">
        <f>IF(C9&gt;0,J9,NA())</f>
        <v/>
      </c>
    </row>
    <row r="10">
      <c r="A10" s="168" t="n">
        <v>46419</v>
      </c>
      <c r="B10">
        <f>TEXT(A10,"mmm yyyy")</f>
        <v/>
      </c>
      <c r="C10" s="169">
        <f>SUMIFS(Pay_Net,Pay_Date,"&gt;="&amp;A10,Pay_Date,"&lt;"&amp;EDATE(A10,1))</f>
        <v/>
      </c>
      <c r="D10" s="169">
        <f>SUMPRODUCT(Gov_Amt*(Gov_Start&lt;=A10)*(((Gov_Int=0)*(Gov_Start=A10))+((Gov_Int&gt;0)*(MOD((YEAR(A10)-YEAR(Gov_Start))*12+MONTH(A10)-MONTH(Gov_Start),IF(Gov_Int=0,1,Gov_Int))=0))))</f>
        <v/>
      </c>
      <c r="E10" s="169">
        <f>SUMIFS(Side_Inc_Amt,Side_Inc_Date,"&gt;="&amp;A10,Side_Inc_Date,"&lt;"&amp;EDATE(A10,1))</f>
        <v/>
      </c>
      <c r="F10" s="169">
        <f>C10+D10+E10</f>
        <v/>
      </c>
      <c r="G10" s="169">
        <f>SUMPRODUCT(Fixed_Amt*(Fixed_Start&lt;=A10))</f>
        <v/>
      </c>
      <c r="H10" s="169">
        <f>SUMIFS(Disc_Amt,Disc_Date,"&gt;="&amp;A10,Disc_Date,"&lt;"&amp;EDATE(A10,1))</f>
        <v/>
      </c>
      <c r="I10" s="169">
        <f>SUMPRODUCT(Bill_Amt*(Bill_InBudget="Yes")*(Bill_Start&lt;=A10))+SUMIFS(Plan_Amt,Plan_Date,"&gt;="&amp;A10,Plan_Date,"&lt;"&amp;EDATE(A10,1))</f>
        <v/>
      </c>
      <c r="J10" s="169">
        <f>G10+H10+I10</f>
        <v/>
      </c>
      <c r="K10" s="169">
        <f>F10-J10</f>
        <v/>
      </c>
      <c r="L10" s="169">
        <f>L9+IF(C10&gt;0,K10,0)</f>
        <v/>
      </c>
      <c r="M10" s="169">
        <f>IF(C10&gt;0,F10,NA())</f>
        <v/>
      </c>
      <c r="N10" s="169">
        <f>IF(C10&gt;0,J10,NA())</f>
        <v/>
      </c>
    </row>
    <row r="11">
      <c r="A11" s="168" t="n">
        <v>46447</v>
      </c>
      <c r="B11">
        <f>TEXT(A11,"mmm yyyy")</f>
        <v/>
      </c>
      <c r="C11" s="169">
        <f>SUMIFS(Pay_Net,Pay_Date,"&gt;="&amp;A11,Pay_Date,"&lt;"&amp;EDATE(A11,1))</f>
        <v/>
      </c>
      <c r="D11" s="169">
        <f>SUMPRODUCT(Gov_Amt*(Gov_Start&lt;=A11)*(((Gov_Int=0)*(Gov_Start=A11))+((Gov_Int&gt;0)*(MOD((YEAR(A11)-YEAR(Gov_Start))*12+MONTH(A11)-MONTH(Gov_Start),IF(Gov_Int=0,1,Gov_Int))=0))))</f>
        <v/>
      </c>
      <c r="E11" s="169">
        <f>SUMIFS(Side_Inc_Amt,Side_Inc_Date,"&gt;="&amp;A11,Side_Inc_Date,"&lt;"&amp;EDATE(A11,1))</f>
        <v/>
      </c>
      <c r="F11" s="169">
        <f>C11+D11+E11</f>
        <v/>
      </c>
      <c r="G11" s="169">
        <f>SUMPRODUCT(Fixed_Amt*(Fixed_Start&lt;=A11))</f>
        <v/>
      </c>
      <c r="H11" s="169">
        <f>SUMIFS(Disc_Amt,Disc_Date,"&gt;="&amp;A11,Disc_Date,"&lt;"&amp;EDATE(A11,1))</f>
        <v/>
      </c>
      <c r="I11" s="169">
        <f>SUMPRODUCT(Bill_Amt*(Bill_InBudget="Yes")*(Bill_Start&lt;=A11))+SUMIFS(Plan_Amt,Plan_Date,"&gt;="&amp;A11,Plan_Date,"&lt;"&amp;EDATE(A11,1))</f>
        <v/>
      </c>
      <c r="J11" s="169">
        <f>G11+H11+I11</f>
        <v/>
      </c>
      <c r="K11" s="169">
        <f>F11-J11</f>
        <v/>
      </c>
      <c r="L11" s="169">
        <f>L10+IF(C11&gt;0,K11,0)</f>
        <v/>
      </c>
      <c r="M11" s="169">
        <f>IF(C11&gt;0,F11,NA())</f>
        <v/>
      </c>
      <c r="N11" s="169">
        <f>IF(C11&gt;0,J11,NA())</f>
        <v/>
      </c>
    </row>
    <row r="12">
      <c r="A12" s="168" t="n">
        <v>46478</v>
      </c>
      <c r="B12">
        <f>TEXT(A12,"mmm yyyy")</f>
        <v/>
      </c>
      <c r="C12" s="169">
        <f>SUMIFS(Pay_Net,Pay_Date,"&gt;="&amp;A12,Pay_Date,"&lt;"&amp;EDATE(A12,1))</f>
        <v/>
      </c>
      <c r="D12" s="169">
        <f>SUMPRODUCT(Gov_Amt*(Gov_Start&lt;=A12)*(((Gov_Int=0)*(Gov_Start=A12))+((Gov_Int&gt;0)*(MOD((YEAR(A12)-YEAR(Gov_Start))*12+MONTH(A12)-MONTH(Gov_Start),IF(Gov_Int=0,1,Gov_Int))=0))))</f>
        <v/>
      </c>
      <c r="E12" s="169">
        <f>SUMIFS(Side_Inc_Amt,Side_Inc_Date,"&gt;="&amp;A12,Side_Inc_Date,"&lt;"&amp;EDATE(A12,1))</f>
        <v/>
      </c>
      <c r="F12" s="169">
        <f>C12+D12+E12</f>
        <v/>
      </c>
      <c r="G12" s="169">
        <f>SUMPRODUCT(Fixed_Amt*(Fixed_Start&lt;=A12))</f>
        <v/>
      </c>
      <c r="H12" s="169">
        <f>SUMIFS(Disc_Amt,Disc_Date,"&gt;="&amp;A12,Disc_Date,"&lt;"&amp;EDATE(A12,1))</f>
        <v/>
      </c>
      <c r="I12" s="169">
        <f>SUMPRODUCT(Bill_Amt*(Bill_InBudget="Yes")*(Bill_Start&lt;=A12))+SUMIFS(Plan_Amt,Plan_Date,"&gt;="&amp;A12,Plan_Date,"&lt;"&amp;EDATE(A12,1))</f>
        <v/>
      </c>
      <c r="J12" s="169">
        <f>G12+H12+I12</f>
        <v/>
      </c>
      <c r="K12" s="169">
        <f>F12-J12</f>
        <v/>
      </c>
      <c r="L12" s="169">
        <f>L11+IF(C12&gt;0,K12,0)</f>
        <v/>
      </c>
      <c r="M12" s="169">
        <f>IF(C12&gt;0,F12,NA())</f>
        <v/>
      </c>
      <c r="N12" s="169">
        <f>IF(C12&gt;0,J12,NA())</f>
        <v/>
      </c>
    </row>
    <row r="13">
      <c r="A13" s="168" t="n">
        <v>46508</v>
      </c>
      <c r="B13">
        <f>TEXT(A13,"mmm yyyy")</f>
        <v/>
      </c>
      <c r="C13" s="169">
        <f>SUMIFS(Pay_Net,Pay_Date,"&gt;="&amp;A13,Pay_Date,"&lt;"&amp;EDATE(A13,1))</f>
        <v/>
      </c>
      <c r="D13" s="169">
        <f>SUMPRODUCT(Gov_Amt*(Gov_Start&lt;=A13)*(((Gov_Int=0)*(Gov_Start=A13))+((Gov_Int&gt;0)*(MOD((YEAR(A13)-YEAR(Gov_Start))*12+MONTH(A13)-MONTH(Gov_Start),IF(Gov_Int=0,1,Gov_Int))=0))))</f>
        <v/>
      </c>
      <c r="E13" s="169">
        <f>SUMIFS(Side_Inc_Amt,Side_Inc_Date,"&gt;="&amp;A13,Side_Inc_Date,"&lt;"&amp;EDATE(A13,1))</f>
        <v/>
      </c>
      <c r="F13" s="169">
        <f>C13+D13+E13</f>
        <v/>
      </c>
      <c r="G13" s="169">
        <f>SUMPRODUCT(Fixed_Amt*(Fixed_Start&lt;=A13))</f>
        <v/>
      </c>
      <c r="H13" s="169">
        <f>SUMIFS(Disc_Amt,Disc_Date,"&gt;="&amp;A13,Disc_Date,"&lt;"&amp;EDATE(A13,1))</f>
        <v/>
      </c>
      <c r="I13" s="169">
        <f>SUMPRODUCT(Bill_Amt*(Bill_InBudget="Yes")*(Bill_Start&lt;=A13))+SUMIFS(Plan_Amt,Plan_Date,"&gt;="&amp;A13,Plan_Date,"&lt;"&amp;EDATE(A13,1))</f>
        <v/>
      </c>
      <c r="J13" s="169">
        <f>G13+H13+I13</f>
        <v/>
      </c>
      <c r="K13" s="169">
        <f>F13-J13</f>
        <v/>
      </c>
      <c r="L13" s="169">
        <f>L12+IF(C13&gt;0,K13,0)</f>
        <v/>
      </c>
      <c r="M13" s="169">
        <f>IF(C13&gt;0,F13,NA())</f>
        <v/>
      </c>
      <c r="N13" s="169">
        <f>IF(C13&gt;0,J13,NA())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2026-06-08T10:39:16Z</dcterms:created>
  <dcterms:modified xsi:type="dcterms:W3CDTF">2026-06-08T10:39:17Z</dcterms:modified>
</cp:coreProperties>
</file>